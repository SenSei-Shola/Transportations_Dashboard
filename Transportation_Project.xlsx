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F9570864-2AC4-44D9-9C16-E56C035637AB}" xr6:coauthVersionLast="47" xr6:coauthVersionMax="47" xr10:uidLastSave="{00000000-0000-0000-0000-000000000000}"/>
  <bookViews>
    <workbookView xWindow="-120" yWindow="-120" windowWidth="20730" windowHeight="11040" firstSheet="1" activeTab="1" xr2:uid="{2C502C78-7DAD-4D05-984C-76691B201D73}"/>
  </bookViews>
  <sheets>
    <sheet name="Analysis 1" sheetId="1" r:id="rId1"/>
    <sheet name="Analysis 2" sheetId="3" r:id="rId2"/>
    <sheet name="Dashboard 1" sheetId="2" r:id="rId3"/>
    <sheet name="Dashbooard 2" sheetId="4" r:id="rId4"/>
  </sheets>
  <calcPr calcId="191028"/>
  <pivotCaches>
    <pivotCache cacheId="3" r:id="rId5"/>
    <pivotCache cacheId="4" r:id="rId6"/>
    <pivotCache cacheId="5" r:id="rId7"/>
    <pivotCache cacheId="6" r:id="rId8"/>
    <pivotCache cacheId="7" r:id="rId9"/>
    <pivotCache cacheId="8" r:id="rId10"/>
    <pivotCache cacheId="9" r:id="rId11"/>
    <pivotCache cacheId="10" r:id="rId12"/>
    <pivotCache cacheId="11" r:id="rId13"/>
    <pivotCache cacheId="12" r:id="rId14"/>
    <pivotCache cacheId="13" r:id="rId15"/>
    <pivotCache cacheId="14" r:id="rId16"/>
    <pivotCache cacheId="15" r:id="rId17"/>
    <pivotCache cacheId="16" r:id="rId18"/>
    <pivotCache cacheId="17" r:id="rId19"/>
    <pivotCache cacheId="18" r:id="rId20"/>
    <pivotCache cacheId="19" r:id="rId2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buses_aa744548-6b3f-4952-a685-4271867cc3f9" name="buses" connection="Query - buses"/>
          <x15:modelTable id="demographics_7a8bb502-30a4-4c6e-9dcb-3443b05a6740" name="demographics" connection="Query - demographics"/>
          <x15:modelTable id="routes_5e6bc856-d42f-4b5d-ac39-196aed557c8b" name="routes" connection="Query - routes"/>
          <x15:modelTable id="factable_c73db612-008a-4130-8ebe-68293893db4e" name="factable" connection="Query - factable"/>
          <x15:modelTable id="date_79ef2ee7-2405-4d95-80e8-562ded6e71f6" name="date" connection="Query - date"/>
          <x15:modelTable id="Calculations_f2d10504-7a82-4d8d-a4c9-ad0f8c5ceb7e" name="Calculations" connection="Query - Calculations"/>
        </x15:modelTables>
        <x15:modelRelationships>
          <x15:modelRelationship fromTable="buses" fromColumn="RouteID" toTable="routes" toColumn="RouteID"/>
          <x15:modelRelationship fromTable="factable" fromColumn="BusID" toTable="buses" toColumn="BusID"/>
          <x15:modelRelationship fromTable="factable" fromColumn="RiderID" toTable="demographics" toColumn="RiderID"/>
          <x15:modelRelationship fromTable="factable" fromColumn="Date" toTable="date" toColumn="Date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factable" columnName="Time" columnId="Time">
                <x16:calculatedTimeColumn columnName="Time (Hour)" columnId="Time (Hour)" contentType="hours" isSelected="1"/>
                <x16:calculatedTimeColumn columnName="Time (Minute)" columnId="Time (Minute)" contentType="minute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3" l="1"/>
  <c r="Y3" i="3"/>
  <c r="X4" i="3"/>
  <c r="Y4" i="3"/>
  <c r="X5" i="3"/>
  <c r="Y5" i="3"/>
  <c r="X6" i="3"/>
  <c r="Y6" i="3"/>
  <c r="X7" i="3"/>
  <c r="Y7" i="3"/>
  <c r="X8" i="3"/>
  <c r="Y8" i="3"/>
  <c r="Y2" i="3"/>
  <c r="X2" i="3"/>
  <c r="N3" i="3"/>
  <c r="P3" i="3"/>
  <c r="N4" i="3"/>
  <c r="P4" i="3"/>
  <c r="N5" i="3"/>
  <c r="P5" i="3"/>
  <c r="P2" i="3"/>
  <c r="N2" i="3"/>
  <c r="E3" i="3"/>
  <c r="F3" i="3"/>
  <c r="H3" i="3" s="1"/>
  <c r="E4" i="3"/>
  <c r="F4" i="3"/>
  <c r="H4" i="3" s="1"/>
  <c r="E5" i="3"/>
  <c r="F5" i="3"/>
  <c r="H5" i="3" s="1"/>
  <c r="E6" i="3"/>
  <c r="F6" i="3"/>
  <c r="E7" i="3"/>
  <c r="F7" i="3"/>
  <c r="E8" i="3"/>
  <c r="F8" i="3"/>
  <c r="E9" i="3"/>
  <c r="F9" i="3"/>
  <c r="E10" i="3"/>
  <c r="F10" i="3"/>
  <c r="E11" i="3"/>
  <c r="F11" i="3"/>
  <c r="E12" i="3"/>
  <c r="F12" i="3"/>
  <c r="F2" i="3"/>
  <c r="E2" i="3"/>
  <c r="AU6" i="1"/>
  <c r="AU5" i="1"/>
  <c r="AO6" i="1"/>
  <c r="AO7" i="1"/>
  <c r="AO5" i="1"/>
  <c r="AO12" i="1"/>
  <c r="AN13" i="1"/>
  <c r="AO13" i="1" s="1"/>
  <c r="AN14" i="1"/>
  <c r="AO14" i="1" s="1"/>
  <c r="AN12" i="1"/>
  <c r="AM12" i="1"/>
  <c r="AM13" i="1"/>
  <c r="AM14" i="1"/>
  <c r="AM11" i="1"/>
  <c r="AB5" i="1"/>
  <c r="AC5" i="1"/>
  <c r="AC6" i="1"/>
  <c r="AC7" i="1"/>
  <c r="AC8" i="1"/>
  <c r="AC9" i="1"/>
  <c r="AC10" i="1"/>
  <c r="AC11" i="1"/>
  <c r="AC12" i="1"/>
  <c r="AB6" i="1"/>
  <c r="AB7" i="1"/>
  <c r="AB8" i="1"/>
  <c r="AB9" i="1"/>
  <c r="AB10" i="1"/>
  <c r="AB11" i="1"/>
  <c r="AB12" i="1"/>
  <c r="T11" i="1"/>
  <c r="U11" i="1" s="1"/>
  <c r="Z3" i="3" l="1"/>
  <c r="O5" i="3"/>
  <c r="O4" i="3"/>
  <c r="AA8" i="3"/>
  <c r="Z8" i="3" s="1"/>
  <c r="O3" i="3"/>
  <c r="AD10" i="1"/>
  <c r="AA3" i="3"/>
  <c r="AA6" i="3"/>
  <c r="Z6" i="3" s="1"/>
  <c r="AA4" i="3"/>
  <c r="Z4" i="3" s="1"/>
  <c r="AA7" i="3"/>
  <c r="Z7" i="3" s="1"/>
  <c r="AA5" i="3"/>
  <c r="Z5" i="3" s="1"/>
  <c r="F15" i="3"/>
  <c r="G10" i="3"/>
  <c r="G6" i="3"/>
  <c r="G9" i="3"/>
  <c r="G3" i="3"/>
  <c r="G5" i="3"/>
  <c r="G12" i="3"/>
  <c r="G8" i="3"/>
  <c r="G4" i="3"/>
  <c r="G11" i="3"/>
  <c r="G7" i="3"/>
  <c r="AD7" i="1"/>
  <c r="AE7" i="1" s="1"/>
  <c r="AE10" i="1"/>
  <c r="AD9" i="1"/>
  <c r="AE9" i="1" s="1"/>
  <c r="AD12" i="1"/>
  <c r="AE12" i="1" s="1"/>
  <c r="AD8" i="1"/>
  <c r="AE8" i="1" s="1"/>
  <c r="AD6" i="1"/>
  <c r="AD11" i="1"/>
  <c r="AE11" i="1" s="1"/>
  <c r="T15" i="1"/>
  <c r="AE6" i="1" l="1"/>
  <c r="AB21" i="1" s="1"/>
  <c r="AB17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50B908-B461-431D-B035-299B5454DD0E}" name="Query - buses" description="Connection to the 'buses' query in the workbook." type="100" refreshedVersion="8" minRefreshableVersion="5">
    <extLst>
      <ext xmlns:x15="http://schemas.microsoft.com/office/spreadsheetml/2010/11/main" uri="{DE250136-89BD-433C-8126-D09CA5730AF9}">
        <x15:connection id="7d5d271a-956f-4abc-bbb7-ef3a55bf6c8f">
          <x15:oledbPr connection="Provider=Microsoft.Mashup.OleDb.1;Data Source=$Workbook$;Location=buses;Extended Properties=&quot;&quot;">
            <x15:dbTables>
              <x15:dbTable name="buses"/>
            </x15:dbTables>
          </x15:oledbPr>
        </x15:connection>
      </ext>
    </extLst>
  </connection>
  <connection id="2" xr16:uid="{909BDF62-DCA7-4D8C-92F5-51868458F275}" name="Query - Calculations" description="Connection to the 'Calculations' query in the workbook." type="100" refreshedVersion="8" minRefreshableVersion="5">
    <extLst>
      <ext xmlns:x15="http://schemas.microsoft.com/office/spreadsheetml/2010/11/main" uri="{DE250136-89BD-433C-8126-D09CA5730AF9}">
        <x15:connection id="dd79f07b-054c-4f3b-b28f-3a3a118cca59">
          <x15:oledbPr connection="Provider=Microsoft.Mashup.OleDb.1;Data Source=$Workbook$;Location=Calculations;Extended Properties=&quot;&quot;">
            <x15:dbTables>
              <x15:dbTable name="Calculations"/>
            </x15:dbTables>
          </x15:oledbPr>
        </x15:connection>
      </ext>
    </extLst>
  </connection>
  <connection id="3" xr16:uid="{DDD984AA-B62F-4B20-BAFB-CEBCB364ECDE}" name="Query - date" description="Connection to the 'date' query in the workbook." type="100" refreshedVersion="8" minRefreshableVersion="5">
    <extLst>
      <ext xmlns:x15="http://schemas.microsoft.com/office/spreadsheetml/2010/11/main" uri="{DE250136-89BD-433C-8126-D09CA5730AF9}">
        <x15:connection id="1848f1b2-c1c2-46ea-b076-6c79b3521762">
          <x15:oledbPr connection="Provider=Microsoft.Mashup.OleDb.1;Data Source=$Workbook$;Location=date;Extended Properties=&quot;&quot;">
            <x15:dbTables>
              <x15:dbTable name="date"/>
            </x15:dbTables>
          </x15:oledbPr>
        </x15:connection>
      </ext>
    </extLst>
  </connection>
  <connection id="4" xr16:uid="{8CAE0108-771B-4F3A-AE80-72A6B65E53EF}" name="Query - demographics" description="Connection to the 'demographics' query in the workbook." type="100" refreshedVersion="8" minRefreshableVersion="5">
    <extLst>
      <ext xmlns:x15="http://schemas.microsoft.com/office/spreadsheetml/2010/11/main" uri="{DE250136-89BD-433C-8126-D09CA5730AF9}">
        <x15:connection id="192841d5-443a-4776-9062-b4f6d35d1939"/>
      </ext>
    </extLst>
  </connection>
  <connection id="5" xr16:uid="{71E9C958-216F-4358-A7EE-62E12DD205A6}" name="Query - factable" description="Connection to the 'factable' query in the workbook." type="100" refreshedVersion="8" minRefreshableVersion="5">
    <extLst>
      <ext xmlns:x15="http://schemas.microsoft.com/office/spreadsheetml/2010/11/main" uri="{DE250136-89BD-433C-8126-D09CA5730AF9}">
        <x15:connection id="8b47defc-3c70-4af6-8b11-b772757c4d22">
          <x15:oledbPr connection="Provider=Microsoft.Mashup.OleDb.1;Data Source=$Workbook$;Location=factable;Extended Properties=&quot;&quot;">
            <x15:dbTables>
              <x15:dbTable name="factable"/>
            </x15:dbTables>
          </x15:oledbPr>
        </x15:connection>
      </ext>
    </extLst>
  </connection>
  <connection id="6" xr16:uid="{0FA554C0-C127-4308-A62B-4DD472F1032D}" name="Query - routes" description="Connection to the 'routes' query in the workbook." type="100" refreshedVersion="8" minRefreshableVersion="5">
    <extLst>
      <ext xmlns:x15="http://schemas.microsoft.com/office/spreadsheetml/2010/11/main" uri="{DE250136-89BD-433C-8126-D09CA5730AF9}">
        <x15:connection id="95607787-c1e9-458a-9a03-bdd2ecf5be71">
          <x15:oledbPr connection="Provider=Microsoft.Mashup.OleDb.1;Data Source=$Workbook$;Location=routes;Extended Properties=&quot;&quot;">
            <x15:dbTables>
              <x15:dbTable name="routes"/>
            </x15:dbTables>
          </x15:oledbPr>
        </x15:connection>
      </ext>
    </extLst>
  </connection>
  <connection id="7" xr16:uid="{DB8D8EE4-2E55-41A4-85E9-70CBADF49CC3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<sst xmlns="http://schemas.openxmlformats.org/spreadsheetml/2006/main" count="102" uniqueCount="70">
  <si>
    <t>Total Riders (Passengers)</t>
  </si>
  <si>
    <t>Avg. Riders Per Trip</t>
  </si>
  <si>
    <t>Peak Hour</t>
  </si>
  <si>
    <t>Time</t>
  </si>
  <si>
    <t>Off-Peak Hour</t>
  </si>
  <si>
    <t>Month Name</t>
  </si>
  <si>
    <t>Utilization Criterion</t>
  </si>
  <si>
    <t>Total Buses</t>
  </si>
  <si>
    <t>Operation Moment</t>
  </si>
  <si>
    <t>Busiest Route</t>
  </si>
  <si>
    <t>Year</t>
  </si>
  <si>
    <t>Day Name</t>
  </si>
  <si>
    <t>Average</t>
  </si>
  <si>
    <t>Above Average</t>
  </si>
  <si>
    <t>Jan</t>
  </si>
  <si>
    <t>Over-Utilized</t>
  </si>
  <si>
    <t>AM</t>
  </si>
  <si>
    <t>RouteName</t>
  </si>
  <si>
    <t>Time Segmentation</t>
  </si>
  <si>
    <t>Sun</t>
  </si>
  <si>
    <t>Dec</t>
  </si>
  <si>
    <t>Under-Utilized</t>
  </si>
  <si>
    <t>PM</t>
  </si>
  <si>
    <t>East-West Express</t>
  </si>
  <si>
    <t>10:00 AM - 1:00 PM</t>
  </si>
  <si>
    <t>Mon</t>
  </si>
  <si>
    <t>Well-Utilized</t>
  </si>
  <si>
    <t>7:00 AM - 10:00 AM</t>
  </si>
  <si>
    <t>Tue</t>
  </si>
  <si>
    <t>1:00 AM - 4:00 AM</t>
  </si>
  <si>
    <t>Wed</t>
  </si>
  <si>
    <t>Least Busy Route</t>
  </si>
  <si>
    <t>4:00 AM - 7:00 AM</t>
  </si>
  <si>
    <t>YoY Percentage Change</t>
  </si>
  <si>
    <t>Indicator</t>
  </si>
  <si>
    <t>Thu</t>
  </si>
  <si>
    <t xml:space="preserve"> </t>
  </si>
  <si>
    <t>Fri</t>
  </si>
  <si>
    <t>Percentage</t>
  </si>
  <si>
    <t>Pct Left</t>
  </si>
  <si>
    <t>South Line</t>
  </si>
  <si>
    <t>Sat</t>
  </si>
  <si>
    <t>Caption:</t>
  </si>
  <si>
    <t>⬆️</t>
  </si>
  <si>
    <t>⬇️</t>
  </si>
  <si>
    <t>Above Average Percentage</t>
  </si>
  <si>
    <t>Top Three</t>
  </si>
  <si>
    <t>Gender</t>
  </si>
  <si>
    <t>Circles</t>
  </si>
  <si>
    <t>AgeBracket</t>
  </si>
  <si>
    <t>Age</t>
  </si>
  <si>
    <t>Average Age</t>
  </si>
  <si>
    <t>Female</t>
  </si>
  <si>
    <t>0-19</t>
  </si>
  <si>
    <t>Central Line</t>
  </si>
  <si>
    <t>Male</t>
  </si>
  <si>
    <t>20-29</t>
  </si>
  <si>
    <t>Airport Express</t>
  </si>
  <si>
    <t>Other</t>
  </si>
  <si>
    <t>30-39</t>
  </si>
  <si>
    <t>University Line</t>
  </si>
  <si>
    <t>40-49</t>
  </si>
  <si>
    <t>Suburban Line</t>
  </si>
  <si>
    <t>50-59</t>
  </si>
  <si>
    <t>Market Line</t>
  </si>
  <si>
    <t>60+</t>
  </si>
  <si>
    <t>City Shuttle</t>
  </si>
  <si>
    <t>Beachfront Route</t>
  </si>
  <si>
    <t>North Circular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</si>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</sst>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 tint="0.149998474074526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pivotButton="1"/>
    <xf numFmtId="3" fontId="0" fillId="0" borderId="0" xfId="0" applyNumberFormat="1"/>
    <xf numFmtId="1" fontId="0" fillId="0" borderId="0" xfId="0" applyNumberFormat="1"/>
    <xf numFmtId="0" fontId="0" fillId="2" borderId="0" xfId="0" applyFill="1"/>
    <xf numFmtId="0" fontId="0" fillId="3" borderId="0" xfId="0" applyFill="1"/>
    <xf numFmtId="19" fontId="0" fillId="0" borderId="0" xfId="0" applyNumberFormat="1"/>
    <xf numFmtId="10" fontId="0" fillId="0" borderId="0" xfId="0" applyNumberFormat="1"/>
    <xf numFmtId="0" fontId="1" fillId="0" borderId="0" xfId="0" applyFont="1"/>
    <xf numFmtId="164" fontId="0" fillId="0" borderId="0" xfId="0" applyNumberFormat="1"/>
    <xf numFmtId="9" fontId="0" fillId="0" borderId="0" xfId="0" applyNumberFormat="1"/>
    <xf numFmtId="0" fontId="2" fillId="3" borderId="0" xfId="0" applyFont="1" applyFill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D0D0D"/>
      <color rgb="FF595959"/>
      <color rgb="FF2A2A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9.xml"/><Relationship Id="rId18" Type="http://schemas.openxmlformats.org/officeDocument/2006/relationships/pivotCacheDefinition" Target="pivotCache/pivotCacheDefinition14.xml"/><Relationship Id="rId26" Type="http://schemas.openxmlformats.org/officeDocument/2006/relationships/powerPivotData" Target="model/item.data"/><Relationship Id="rId39" Type="http://schemas.openxmlformats.org/officeDocument/2006/relationships/customXml" Target="../customXml/item12.xml"/><Relationship Id="rId21" Type="http://schemas.openxmlformats.org/officeDocument/2006/relationships/pivotCacheDefinition" Target="pivotCache/pivotCacheDefinition17.xml"/><Relationship Id="rId34" Type="http://schemas.openxmlformats.org/officeDocument/2006/relationships/customXml" Target="../customXml/item7.xml"/><Relationship Id="rId42" Type="http://schemas.openxmlformats.org/officeDocument/2006/relationships/customXml" Target="../customXml/item15.xml"/><Relationship Id="rId47" Type="http://schemas.openxmlformats.org/officeDocument/2006/relationships/customXml" Target="../customXml/item20.xml"/><Relationship Id="rId50" Type="http://schemas.openxmlformats.org/officeDocument/2006/relationships/customXml" Target="../customXml/item23.xml"/><Relationship Id="rId55" Type="http://schemas.openxmlformats.org/officeDocument/2006/relationships/customXml" Target="../customXml/item28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2.xml"/><Relationship Id="rId29" Type="http://schemas.openxmlformats.org/officeDocument/2006/relationships/customXml" Target="../customXml/item2.xml"/><Relationship Id="rId11" Type="http://schemas.openxmlformats.org/officeDocument/2006/relationships/pivotCacheDefinition" Target="pivotCache/pivotCacheDefinition7.xml"/><Relationship Id="rId24" Type="http://schemas.openxmlformats.org/officeDocument/2006/relationships/styles" Target="styles.xml"/><Relationship Id="rId32" Type="http://schemas.openxmlformats.org/officeDocument/2006/relationships/customXml" Target="../customXml/item5.xml"/><Relationship Id="rId37" Type="http://schemas.openxmlformats.org/officeDocument/2006/relationships/customXml" Target="../customXml/item10.xml"/><Relationship Id="rId40" Type="http://schemas.openxmlformats.org/officeDocument/2006/relationships/customXml" Target="../customXml/item13.xml"/><Relationship Id="rId45" Type="http://schemas.openxmlformats.org/officeDocument/2006/relationships/customXml" Target="../customXml/item18.xml"/><Relationship Id="rId53" Type="http://schemas.openxmlformats.org/officeDocument/2006/relationships/customXml" Target="../customXml/item26.xml"/><Relationship Id="rId58" Type="http://schemas.openxmlformats.org/officeDocument/2006/relationships/customXml" Target="../customXml/item31.xml"/><Relationship Id="rId5" Type="http://schemas.openxmlformats.org/officeDocument/2006/relationships/pivotCacheDefinition" Target="pivotCache/pivotCacheDefinition1.xml"/><Relationship Id="rId19" Type="http://schemas.openxmlformats.org/officeDocument/2006/relationships/pivotCacheDefinition" Target="pivotCache/pivotCacheDefinition1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pivotCacheDefinition" Target="pivotCache/pivotCacheDefinition10.xml"/><Relationship Id="rId22" Type="http://schemas.openxmlformats.org/officeDocument/2006/relationships/theme" Target="theme/theme1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Relationship Id="rId35" Type="http://schemas.openxmlformats.org/officeDocument/2006/relationships/customXml" Target="../customXml/item8.xml"/><Relationship Id="rId43" Type="http://schemas.openxmlformats.org/officeDocument/2006/relationships/customXml" Target="../customXml/item16.xml"/><Relationship Id="rId48" Type="http://schemas.openxmlformats.org/officeDocument/2006/relationships/customXml" Target="../customXml/item21.xml"/><Relationship Id="rId56" Type="http://schemas.openxmlformats.org/officeDocument/2006/relationships/customXml" Target="../customXml/item29.xml"/><Relationship Id="rId8" Type="http://schemas.openxmlformats.org/officeDocument/2006/relationships/pivotCacheDefinition" Target="pivotCache/pivotCacheDefinition4.xml"/><Relationship Id="rId51" Type="http://schemas.openxmlformats.org/officeDocument/2006/relationships/customXml" Target="../customXml/item24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8.xml"/><Relationship Id="rId17" Type="http://schemas.openxmlformats.org/officeDocument/2006/relationships/pivotCacheDefinition" Target="pivotCache/pivotCacheDefinition13.xml"/><Relationship Id="rId25" Type="http://schemas.openxmlformats.org/officeDocument/2006/relationships/sharedStrings" Target="sharedStrings.xml"/><Relationship Id="rId33" Type="http://schemas.openxmlformats.org/officeDocument/2006/relationships/customXml" Target="../customXml/item6.xml"/><Relationship Id="rId38" Type="http://schemas.openxmlformats.org/officeDocument/2006/relationships/customXml" Target="../customXml/item11.xml"/><Relationship Id="rId46" Type="http://schemas.openxmlformats.org/officeDocument/2006/relationships/customXml" Target="../customXml/item19.xml"/><Relationship Id="rId59" Type="http://schemas.openxmlformats.org/officeDocument/2006/relationships/customXml" Target="../customXml/item32.xml"/><Relationship Id="rId20" Type="http://schemas.openxmlformats.org/officeDocument/2006/relationships/pivotCacheDefinition" Target="pivotCache/pivotCacheDefinition16.xml"/><Relationship Id="rId41" Type="http://schemas.openxmlformats.org/officeDocument/2006/relationships/customXml" Target="../customXml/item14.xml"/><Relationship Id="rId54" Type="http://schemas.openxmlformats.org/officeDocument/2006/relationships/customXml" Target="../customXml/item27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5" Type="http://schemas.openxmlformats.org/officeDocument/2006/relationships/pivotCacheDefinition" Target="pivotCache/pivotCacheDefinition11.xml"/><Relationship Id="rId23" Type="http://schemas.openxmlformats.org/officeDocument/2006/relationships/connections" Target="connections.xml"/><Relationship Id="rId28" Type="http://schemas.openxmlformats.org/officeDocument/2006/relationships/customXml" Target="../customXml/item1.xml"/><Relationship Id="rId36" Type="http://schemas.openxmlformats.org/officeDocument/2006/relationships/customXml" Target="../customXml/item9.xml"/><Relationship Id="rId49" Type="http://schemas.openxmlformats.org/officeDocument/2006/relationships/customXml" Target="../customXml/item22.xml"/><Relationship Id="rId57" Type="http://schemas.openxmlformats.org/officeDocument/2006/relationships/customXml" Target="../customXml/item30.xml"/><Relationship Id="rId10" Type="http://schemas.openxmlformats.org/officeDocument/2006/relationships/pivotCacheDefinition" Target="pivotCache/pivotCacheDefinition6.xml"/><Relationship Id="rId31" Type="http://schemas.openxmlformats.org/officeDocument/2006/relationships/customXml" Target="../customXml/item4.xml"/><Relationship Id="rId44" Type="http://schemas.openxmlformats.org/officeDocument/2006/relationships/customXml" Target="../customXml/item17.xml"/><Relationship Id="rId52" Type="http://schemas.openxmlformats.org/officeDocument/2006/relationships/customXml" Target="../customXml/item25.xml"/><Relationship Id="rId60" Type="http://schemas.openxmlformats.org/officeDocument/2006/relationships/customXml" Target="../customXml/item3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microsoft.com/office/2011/relationships/chartColorStyle" Target="colors9.xml"/><Relationship Id="rId1" Type="http://schemas.microsoft.com/office/2011/relationships/chartStyle" Target="style9.xml"/><Relationship Id="rId4" Type="http://schemas.openxmlformats.org/officeDocument/2006/relationships/image" Target="../media/image6.png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[Transportation_Project.xlsx]Analysis 1!PivotTable4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8841594097325458"/>
          <c:y val="7.5993132875379968E-2"/>
          <c:w val="0.44484881157718681"/>
          <c:h val="0.8480137342492400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'Analysis 1'!$H$6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1'!$G$7:$G$10</c:f>
              <c:strCache>
                <c:ptCount val="4"/>
                <c:pt idx="0">
                  <c:v>10:00 AM - 1:00 PM</c:v>
                </c:pt>
                <c:pt idx="1">
                  <c:v>7:00 AM - 10:00 AM</c:v>
                </c:pt>
                <c:pt idx="2">
                  <c:v>1:00 AM - 4:00 AM</c:v>
                </c:pt>
                <c:pt idx="3">
                  <c:v>4:00 AM - 7:00 AM</c:v>
                </c:pt>
              </c:strCache>
            </c:strRef>
          </c:cat>
          <c:val>
            <c:numRef>
              <c:f>'Analysis 1'!$H$7:$H$10</c:f>
              <c:numCache>
                <c:formatCode>#,##0</c:formatCode>
                <c:ptCount val="4"/>
                <c:pt idx="0">
                  <c:v>2119</c:v>
                </c:pt>
                <c:pt idx="1">
                  <c:v>2099</c:v>
                </c:pt>
                <c:pt idx="2">
                  <c:v>1196</c:v>
                </c:pt>
                <c:pt idx="3">
                  <c:v>1173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A1-4F1D-BCFD-3778A0013E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90"/>
        <c:axId val="1708929936"/>
        <c:axId val="1708936592"/>
      </c:barChart>
      <c:catAx>
        <c:axId val="170892993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936592"/>
        <c:crosses val="autoZero"/>
        <c:auto val="1"/>
        <c:lblAlgn val="ctr"/>
        <c:lblOffset val="100"/>
        <c:noMultiLvlLbl val="0"/>
      </c:catAx>
      <c:valAx>
        <c:axId val="1708936592"/>
        <c:scaling>
          <c:orientation val="minMax"/>
        </c:scaling>
        <c:delete val="1"/>
        <c:axPos val="t"/>
        <c:numFmt formatCode="#,##0" sourceLinked="1"/>
        <c:majorTickMark val="out"/>
        <c:minorTickMark val="none"/>
        <c:tickLblPos val="nextTo"/>
        <c:crossAx val="1708929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[Transportation_Project.xlsx]Analysis 1!PivotTable9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tx2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>
                      <a:lumMod val="9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7037037037037035E-2"/>
          <c:y val="0.16133300630554231"/>
          <c:w val="0.78210690330375365"/>
          <c:h val="0.61614207969763812"/>
        </c:manualLayout>
      </c:layout>
      <c:lineChart>
        <c:grouping val="standard"/>
        <c:varyColors val="0"/>
        <c:ser>
          <c:idx val="0"/>
          <c:order val="0"/>
          <c:tx>
            <c:strRef>
              <c:f>'Analysis 1'!$T$5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tx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9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1'!$S$6:$S$7</c:f>
              <c:strCache>
                <c:ptCount val="2"/>
                <c:pt idx="0">
                  <c:v>2023</c:v>
                </c:pt>
                <c:pt idx="1">
                  <c:v>2024</c:v>
                </c:pt>
              </c:strCache>
            </c:strRef>
          </c:cat>
          <c:val>
            <c:numRef>
              <c:f>'Analysis 1'!$T$6:$T$7</c:f>
              <c:numCache>
                <c:formatCode>#,##0</c:formatCode>
                <c:ptCount val="2"/>
                <c:pt idx="0">
                  <c:v>5654</c:v>
                </c:pt>
                <c:pt idx="1">
                  <c:v>933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68-418A-B65F-6BEDD8B4B0F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95148800"/>
        <c:axId val="1995149216"/>
      </c:lineChart>
      <c:catAx>
        <c:axId val="1995148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bg1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>
                    <a:lumMod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149216"/>
        <c:crosses val="autoZero"/>
        <c:auto val="1"/>
        <c:lblAlgn val="ctr"/>
        <c:lblOffset val="100"/>
        <c:noMultiLvlLbl val="0"/>
      </c:catAx>
      <c:valAx>
        <c:axId val="1995149216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1995148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015658617307853E-2"/>
          <c:y val="1.3111405628751851E-2"/>
          <c:w val="0.94058476956114756"/>
          <c:h val="0.798802069783796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'Analysis 1'!$AC$5</c:f>
              <c:strCache>
                <c:ptCount val="1"/>
                <c:pt idx="0">
                  <c:v>Total Riders (Passengers)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1'!$AB$6:$AB$12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'Analysis 1'!$AC$6:$AC$12</c:f>
              <c:numCache>
                <c:formatCode>General</c:formatCode>
                <c:ptCount val="7"/>
                <c:pt idx="0">
                  <c:v>1185</c:v>
                </c:pt>
                <c:pt idx="1">
                  <c:v>1085</c:v>
                </c:pt>
                <c:pt idx="2">
                  <c:v>983</c:v>
                </c:pt>
                <c:pt idx="3">
                  <c:v>887</c:v>
                </c:pt>
                <c:pt idx="4">
                  <c:v>889</c:v>
                </c:pt>
                <c:pt idx="5">
                  <c:v>762</c:v>
                </c:pt>
                <c:pt idx="6">
                  <c:v>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92-4A7D-BA6F-2523D74FF45C}"/>
            </c:ext>
          </c:extLst>
        </c:ser>
        <c:ser>
          <c:idx val="2"/>
          <c:order val="2"/>
          <c:tx>
            <c:strRef>
              <c:f>'Analysis 1'!$AE$5</c:f>
              <c:strCache>
                <c:ptCount val="1"/>
                <c:pt idx="0">
                  <c:v>Above Average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'Analysis 1'!$AE$6:$AE$12</c:f>
              <c:numCache>
                <c:formatCode>General</c:formatCode>
                <c:ptCount val="7"/>
                <c:pt idx="0">
                  <c:v>1185</c:v>
                </c:pt>
                <c:pt idx="1">
                  <c:v>1085</c:v>
                </c:pt>
                <c:pt idx="2">
                  <c:v>983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92-4A7D-BA6F-2523D74FF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0"/>
        <c:overlap val="100"/>
        <c:axId val="922099007"/>
        <c:axId val="922078623"/>
      </c:barChart>
      <c:lineChart>
        <c:grouping val="standard"/>
        <c:varyColors val="0"/>
        <c:ser>
          <c:idx val="1"/>
          <c:order val="1"/>
          <c:tx>
            <c:strRef>
              <c:f>'Analysis 1'!$AD$5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 cmpd="thickThin">
              <a:solidFill>
                <a:schemeClr val="bg2">
                  <a:lumMod val="9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'Analysis 1'!$AD$6:$AD$12</c:f>
              <c:numCache>
                <c:formatCode>General</c:formatCode>
                <c:ptCount val="7"/>
                <c:pt idx="0">
                  <c:v>941</c:v>
                </c:pt>
                <c:pt idx="1">
                  <c:v>941</c:v>
                </c:pt>
                <c:pt idx="2">
                  <c:v>941</c:v>
                </c:pt>
                <c:pt idx="3">
                  <c:v>941</c:v>
                </c:pt>
                <c:pt idx="4">
                  <c:v>941</c:v>
                </c:pt>
                <c:pt idx="5">
                  <c:v>941</c:v>
                </c:pt>
                <c:pt idx="6">
                  <c:v>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92-4A7D-BA6F-2523D74FF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2099007"/>
        <c:axId val="922078623"/>
      </c:lineChart>
      <c:catAx>
        <c:axId val="922099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2">
                    <a:lumMod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078623"/>
        <c:crosses val="autoZero"/>
        <c:auto val="1"/>
        <c:lblAlgn val="ctr"/>
        <c:lblOffset val="100"/>
        <c:noMultiLvlLbl val="0"/>
      </c:catAx>
      <c:valAx>
        <c:axId val="92207862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22099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[Transportation_Project.xlsx]Analysis 1!PivotTable10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tx2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6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307127761312986"/>
          <c:y val="0.13748917748917747"/>
          <c:w val="0.83528551080755264"/>
          <c:h val="0.68576200702184964"/>
        </c:manualLayout>
      </c:layout>
      <c:lineChart>
        <c:grouping val="standard"/>
        <c:varyColors val="0"/>
        <c:ser>
          <c:idx val="0"/>
          <c:order val="0"/>
          <c:tx>
            <c:strRef>
              <c:f>'Analysis 1'!$AJ$4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6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1'!$AI$5:$AI$6</c:f>
              <c:strCache>
                <c:ptCount val="2"/>
                <c:pt idx="0">
                  <c:v>Jan</c:v>
                </c:pt>
                <c:pt idx="1">
                  <c:v>Dec</c:v>
                </c:pt>
              </c:strCache>
            </c:strRef>
          </c:cat>
          <c:val>
            <c:numRef>
              <c:f>'Analysis 1'!$AJ$5:$AJ$6</c:f>
              <c:numCache>
                <c:formatCode>#,##0</c:formatCode>
                <c:ptCount val="2"/>
                <c:pt idx="0">
                  <c:v>933</c:v>
                </c:pt>
                <c:pt idx="1">
                  <c:v>5654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BC-47CC-82FB-F4D565491B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1436080"/>
        <c:axId val="1681436912"/>
      </c:lineChart>
      <c:catAx>
        <c:axId val="1681436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436912"/>
        <c:crosses val="autoZero"/>
        <c:auto val="1"/>
        <c:lblAlgn val="ctr"/>
        <c:lblOffset val="100"/>
        <c:noMultiLvlLbl val="0"/>
      </c:catAx>
      <c:valAx>
        <c:axId val="1681436912"/>
        <c:scaling>
          <c:orientation val="minMax"/>
        </c:scaling>
        <c:delete val="0"/>
        <c:axPos val="l"/>
        <c:numFmt formatCode="0,\K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436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'Analysis 1'!$AM$12</c:f>
              <c:strCache>
                <c:ptCount val="1"/>
                <c:pt idx="0">
                  <c:v>Over-Utilized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</c:spPr>
          <c:dPt>
            <c:idx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967-4AB6-B0AC-CC3F0D69FEBD}"/>
              </c:ext>
            </c:extLst>
          </c:dPt>
          <c:dPt>
            <c:idx val="1"/>
            <c:bubble3D val="0"/>
            <c:spPr>
              <a:solidFill>
                <a:schemeClr val="bg1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967-4AB6-B0AC-CC3F0D69FEBD}"/>
              </c:ext>
            </c:extLst>
          </c:dPt>
          <c:val>
            <c:numRef>
              <c:f>'Analysis 1'!$AN$12:$AO$12</c:f>
              <c:numCache>
                <c:formatCode>0%</c:formatCode>
                <c:ptCount val="2"/>
                <c:pt idx="0">
                  <c:v>0.25</c:v>
                </c:pt>
                <c:pt idx="1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967-4AB6-B0AC-CC3F0D69F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'Analysis 1'!$AM$13</c:f>
              <c:strCache>
                <c:ptCount val="1"/>
                <c:pt idx="0">
                  <c:v>Under-Utilized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967-4AB6-B0AC-CC3F0D69FEBD}"/>
              </c:ext>
            </c:extLst>
          </c:dPt>
          <c:dPt>
            <c:idx val="1"/>
            <c:bubble3D val="0"/>
            <c:spPr>
              <a:solidFill>
                <a:schemeClr val="bg1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967-4AB6-B0AC-CC3F0D69FEBD}"/>
              </c:ext>
            </c:extLst>
          </c:dPt>
          <c:val>
            <c:numRef>
              <c:f>'Analysis 1'!$AN$13:$AO$13</c:f>
              <c:numCache>
                <c:formatCode>0%</c:formatCode>
                <c:ptCount val="2"/>
                <c:pt idx="0">
                  <c:v>0.27500000000000002</c:v>
                </c:pt>
                <c:pt idx="1">
                  <c:v>0.72499999999999998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967-4AB6-B0AC-CC3F0D69F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'Analysis 1'!$AM$14</c:f>
              <c:strCache>
                <c:ptCount val="1"/>
                <c:pt idx="0">
                  <c:v>Well-Utilized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tx2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967-4AB6-B0AC-CC3F0D69FEBD}"/>
              </c:ext>
            </c:extLst>
          </c:dPt>
          <c:dPt>
            <c:idx val="1"/>
            <c:bubble3D val="0"/>
            <c:spPr>
              <a:solidFill>
                <a:schemeClr val="bg1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967-4AB6-B0AC-CC3F0D69FEBD}"/>
              </c:ext>
            </c:extLst>
          </c:dPt>
          <c:val>
            <c:numRef>
              <c:f>'Analysis 1'!$AN$14:$AO$14</c:f>
              <c:numCache>
                <c:formatCode>0%</c:formatCode>
                <c:ptCount val="2"/>
                <c:pt idx="0">
                  <c:v>0.47499999999999998</c:v>
                </c:pt>
                <c:pt idx="1">
                  <c:v>0.52500000000000002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967-4AB6-B0AC-CC3F0D69F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47199576797086412"/>
          <c:y val="3.3257747543461828E-2"/>
          <c:w val="0.47115668680949763"/>
          <c:h val="0.9334845049130763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'Analysis 2'!$F$2</c:f>
              <c:strCache>
                <c:ptCount val="1"/>
                <c:pt idx="0">
                  <c:v>Total Riders (Passengers)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>
                        <a:lumMod val="6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2'!$E$3:$E$12</c:f>
              <c:strCache>
                <c:ptCount val="10"/>
                <c:pt idx="0">
                  <c:v>East-West Express</c:v>
                </c:pt>
                <c:pt idx="1">
                  <c:v>Central Line</c:v>
                </c:pt>
                <c:pt idx="2">
                  <c:v>Airport Express</c:v>
                </c:pt>
                <c:pt idx="3">
                  <c:v>University Line</c:v>
                </c:pt>
                <c:pt idx="4">
                  <c:v>Suburban Line</c:v>
                </c:pt>
                <c:pt idx="5">
                  <c:v>Market Line</c:v>
                </c:pt>
                <c:pt idx="6">
                  <c:v>City Shuttle</c:v>
                </c:pt>
                <c:pt idx="7">
                  <c:v>Beachfront Route</c:v>
                </c:pt>
                <c:pt idx="8">
                  <c:v>North Circular</c:v>
                </c:pt>
                <c:pt idx="9">
                  <c:v>South Line</c:v>
                </c:pt>
              </c:strCache>
            </c:strRef>
          </c:cat>
          <c:val>
            <c:numRef>
              <c:f>'Analysis 2'!$F$3:$F$12</c:f>
              <c:numCache>
                <c:formatCode>General</c:formatCode>
                <c:ptCount val="10"/>
                <c:pt idx="0" formatCode="#,##0">
                  <c:v>1322</c:v>
                </c:pt>
                <c:pt idx="1">
                  <c:v>1271</c:v>
                </c:pt>
                <c:pt idx="2">
                  <c:v>754</c:v>
                </c:pt>
                <c:pt idx="3">
                  <c:v>741</c:v>
                </c:pt>
                <c:pt idx="4">
                  <c:v>659</c:v>
                </c:pt>
                <c:pt idx="5">
                  <c:v>609</c:v>
                </c:pt>
                <c:pt idx="6">
                  <c:v>509</c:v>
                </c:pt>
                <c:pt idx="7">
                  <c:v>331</c:v>
                </c:pt>
                <c:pt idx="8">
                  <c:v>206</c:v>
                </c:pt>
                <c:pt idx="9">
                  <c:v>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FC-40C9-A3C7-655E6D3FFB35}"/>
            </c:ext>
          </c:extLst>
        </c:ser>
        <c:ser>
          <c:idx val="2"/>
          <c:order val="1"/>
          <c:tx>
            <c:strRef>
              <c:f>'Analysis 2'!$H$2</c:f>
              <c:strCache>
                <c:ptCount val="1"/>
                <c:pt idx="0">
                  <c:v>Top Three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'Analysis 2'!$H$3:$H$12</c:f>
              <c:numCache>
                <c:formatCode>#,##0</c:formatCode>
                <c:ptCount val="10"/>
                <c:pt idx="0">
                  <c:v>1322</c:v>
                </c:pt>
                <c:pt idx="1">
                  <c:v>1271</c:v>
                </c:pt>
                <c:pt idx="2">
                  <c:v>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FC-40C9-A3C7-655E6D3FFB3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933369935"/>
        <c:axId val="933354959"/>
      </c:barChart>
      <c:catAx>
        <c:axId val="93336993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1">
                    <a:lumMod val="6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354959"/>
        <c:crosses val="autoZero"/>
        <c:auto val="1"/>
        <c:lblAlgn val="ctr"/>
        <c:lblOffset val="100"/>
        <c:noMultiLvlLbl val="0"/>
      </c:catAx>
      <c:valAx>
        <c:axId val="933354959"/>
        <c:scaling>
          <c:orientation val="minMax"/>
        </c:scaling>
        <c:delete val="1"/>
        <c:axPos val="t"/>
        <c:numFmt formatCode="#,##0" sourceLinked="1"/>
        <c:majorTickMark val="none"/>
        <c:minorTickMark val="none"/>
        <c:tickLblPos val="nextTo"/>
        <c:crossAx val="933369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042316549511771"/>
          <c:y val="7.9927361647567821E-2"/>
          <c:w val="0.43277564473393115"/>
          <c:h val="0.8401452767048643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'Analysis 2'!$O$2</c:f>
              <c:strCache>
                <c:ptCount val="1"/>
                <c:pt idx="0">
                  <c:v>Percentage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pictureOptions>
            <c:pictureFormat val="stackScale"/>
          </c:pictureOptions>
          <c:cat>
            <c:strRef>
              <c:f>'Analysis 2'!$N$3:$N$5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'Analysis 2'!$O$3:$O$5</c:f>
              <c:numCache>
                <c:formatCode>0%</c:formatCode>
                <c:ptCount val="3"/>
                <c:pt idx="0">
                  <c:v>0.15287687870047062</c:v>
                </c:pt>
                <c:pt idx="1">
                  <c:v>0.74039775315014422</c:v>
                </c:pt>
                <c:pt idx="2">
                  <c:v>0.10672536814938516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D7-4207-AC88-AAE4B3372679}"/>
            </c:ext>
          </c:extLst>
        </c:ser>
        <c:ser>
          <c:idx val="1"/>
          <c:order val="1"/>
          <c:tx>
            <c:v>Total</c:v>
          </c:tx>
          <c:spPr>
            <a:blipFill>
              <a:blip xmlns:r="http://schemas.openxmlformats.org/officeDocument/2006/relationships" r:embed="rId4"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2AD9C94E-6269-4B2A-BF92-CB8ECCEC2B43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7BD7-4207-AC88-AAE4B337267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7C0F323-B641-4E05-8549-710D5A321A50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7BD7-4207-AC88-AAE4B337267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D9D20C8-C111-4C91-9D5F-A98BF27BBFE9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7BD7-4207-AC88-AAE4B33726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'Analysis 2'!$Q$3:$Q$5</c:f>
              <c:numCache>
                <c:formatCode>0%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'Analysis 2'!$O$3:$O$5</c15:f>
                <c15:dlblRangeCache>
                  <c:ptCount val="3"/>
                  <c:pt idx="0">
                    <c:v>15%</c:v>
                  </c:pt>
                  <c:pt idx="1">
                    <c:v>74%</c:v>
                  </c:pt>
                  <c:pt idx="2">
                    <c:v>11%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7BD7-4207-AC88-AAE4B3372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2041019584"/>
        <c:axId val="2041017088"/>
      </c:barChart>
      <c:catAx>
        <c:axId val="2041019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017088"/>
        <c:crosses val="autoZero"/>
        <c:auto val="1"/>
        <c:lblAlgn val="ctr"/>
        <c:lblOffset val="100"/>
        <c:noMultiLvlLbl val="0"/>
      </c:catAx>
      <c:valAx>
        <c:axId val="2041017088"/>
        <c:scaling>
          <c:orientation val="minMax"/>
          <c:max val="1"/>
        </c:scaling>
        <c:delete val="1"/>
        <c:axPos val="b"/>
        <c:numFmt formatCode="0%" sourceLinked="1"/>
        <c:majorTickMark val="none"/>
        <c:minorTickMark val="none"/>
        <c:tickLblPos val="nextTo"/>
        <c:crossAx val="2041019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3446139441298482E-2"/>
          <c:y val="0.56481481481481477"/>
          <c:w val="0.89697599944219497"/>
          <c:h val="0.29544765237678622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'Analysis 2'!$Z$2</c:f>
              <c:strCache>
                <c:ptCount val="1"/>
                <c:pt idx="0">
                  <c:v>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'Analysis 2'!$Z$3:$Z$8</c:f>
              <c:strCache>
                <c:ptCount val="6"/>
                <c:pt idx="0">
                  <c:v>0-19 | 9.%</c:v>
                </c:pt>
                <c:pt idx="1">
                  <c:v>20-29 | 12.%</c:v>
                </c:pt>
                <c:pt idx="2">
                  <c:v>30-39 | 22.%</c:v>
                </c:pt>
                <c:pt idx="3">
                  <c:v>40-49 | 19.%</c:v>
                </c:pt>
                <c:pt idx="4">
                  <c:v>50-59 | 21.%</c:v>
                </c:pt>
                <c:pt idx="5">
                  <c:v>60+ | 17.%</c:v>
                </c:pt>
              </c:strCache>
            </c:strRef>
          </c:cat>
          <c:val>
            <c:numRef>
              <c:f>'Analysis 2'!$Z$3:$Z$8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CD-44AB-AE9F-BC0BBAB7D32C}"/>
            </c:ext>
          </c:extLst>
        </c:ser>
        <c:ser>
          <c:idx val="0"/>
          <c:order val="1"/>
          <c:tx>
            <c:strRef>
              <c:f>'Analysis 2'!$Y$2</c:f>
              <c:strCache>
                <c:ptCount val="1"/>
                <c:pt idx="0">
                  <c:v>Total Riders (Passengers)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2'!$Z$3:$Z$8</c:f>
              <c:strCache>
                <c:ptCount val="6"/>
                <c:pt idx="0">
                  <c:v>0-19 | 9.%</c:v>
                </c:pt>
                <c:pt idx="1">
                  <c:v>20-29 | 12.%</c:v>
                </c:pt>
                <c:pt idx="2">
                  <c:v>30-39 | 22.%</c:v>
                </c:pt>
                <c:pt idx="3">
                  <c:v>40-49 | 19.%</c:v>
                </c:pt>
                <c:pt idx="4">
                  <c:v>50-59 | 21.%</c:v>
                </c:pt>
                <c:pt idx="5">
                  <c:v>60+ | 17.%</c:v>
                </c:pt>
              </c:strCache>
            </c:strRef>
          </c:cat>
          <c:val>
            <c:numRef>
              <c:f>'Analysis 2'!$Y$3:$Y$8</c:f>
              <c:numCache>
                <c:formatCode>General</c:formatCode>
                <c:ptCount val="6"/>
                <c:pt idx="0">
                  <c:v>576</c:v>
                </c:pt>
                <c:pt idx="1">
                  <c:v>785</c:v>
                </c:pt>
                <c:pt idx="2">
                  <c:v>1474</c:v>
                </c:pt>
                <c:pt idx="3">
                  <c:v>1281</c:v>
                </c:pt>
                <c:pt idx="4">
                  <c:v>1382</c:v>
                </c:pt>
                <c:pt idx="5">
                  <c:v>1089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CD-44AB-AE9F-BC0BBAB7D3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900261504"/>
        <c:axId val="900267328"/>
      </c:barChart>
      <c:catAx>
        <c:axId val="900261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t" anchorCtr="1"/>
          <a:lstStyle/>
          <a:p>
            <a:pPr>
              <a:defRPr sz="900" b="1" i="0" u="none" strike="noStrike" kern="1200" baseline="0">
                <a:solidFill>
                  <a:schemeClr val="bg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267328"/>
        <c:crosses val="autoZero"/>
        <c:auto val="1"/>
        <c:lblAlgn val="ctr"/>
        <c:lblOffset val="100"/>
        <c:noMultiLvlLbl val="0"/>
      </c:catAx>
      <c:valAx>
        <c:axId val="90026732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90026150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b="1">
          <a:solidFill>
            <a:schemeClr val="bg1">
              <a:lumMod val="7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3" Type="http://schemas.openxmlformats.org/officeDocument/2006/relationships/image" Target="../media/image2.png"/><Relationship Id="rId7" Type="http://schemas.openxmlformats.org/officeDocument/2006/relationships/chart" Target="../charts/chart3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image" Target="../media/image4.svg"/><Relationship Id="rId11" Type="http://schemas.openxmlformats.org/officeDocument/2006/relationships/chart" Target="../charts/chart7.xml"/><Relationship Id="rId5" Type="http://schemas.openxmlformats.org/officeDocument/2006/relationships/image" Target="../media/image3.png"/><Relationship Id="rId10" Type="http://schemas.openxmlformats.org/officeDocument/2006/relationships/chart" Target="../charts/chart6.xml"/><Relationship Id="rId4" Type="http://schemas.openxmlformats.org/officeDocument/2006/relationships/chart" Target="../charts/chart2.xml"/><Relationship Id="rId9" Type="http://schemas.openxmlformats.org/officeDocument/2006/relationships/chart" Target="../charts/chart5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552450</xdr:colOff>
      <xdr:row>0</xdr:row>
      <xdr:rowOff>1</xdr:rowOff>
    </xdr:from>
    <xdr:to>
      <xdr:col>16</xdr:col>
      <xdr:colOff>38100</xdr:colOff>
      <xdr:row>33</xdr:row>
      <xdr:rowOff>123825</xdr:rowOff>
    </xdr:to>
    <xdr:sp macro="" textlink="">
      <xdr:nvSpPr>
        <xdr:cNvPr id="6" name="Arrow: Pentagon 5">
          <a:extLst>
            <a:ext uri="{FF2B5EF4-FFF2-40B4-BE49-F238E27FC236}">
              <a16:creationId xmlns:a16="http://schemas.microsoft.com/office/drawing/2014/main" id="{D5BC133C-48F6-731F-D718-F3611B36A559}"/>
            </a:ext>
          </a:extLst>
        </xdr:cNvPr>
        <xdr:cNvSpPr/>
      </xdr:nvSpPr>
      <xdr:spPr>
        <a:xfrm flipH="1">
          <a:off x="2381250" y="1"/>
          <a:ext cx="7410450" cy="6410324"/>
        </a:xfrm>
        <a:prstGeom prst="homePlate">
          <a:avLst>
            <a:gd name="adj" fmla="val 32214"/>
          </a:avLst>
        </a:prstGeom>
        <a:gradFill flip="none" rotWithShape="1">
          <a:gsLst>
            <a:gs pos="27000">
              <a:srgbClr val="2A2A2A"/>
            </a:gs>
            <a:gs pos="51000">
              <a:srgbClr val="595959"/>
            </a:gs>
            <a:gs pos="84000">
              <a:srgbClr val="0D0D0D"/>
            </a:gs>
            <a:gs pos="0">
              <a:schemeClr val="tx1"/>
            </a:gs>
          </a:gsLst>
          <a:lin ang="0" scaled="0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295275</xdr:colOff>
      <xdr:row>0</xdr:row>
      <xdr:rowOff>19051</xdr:rowOff>
    </xdr:from>
    <xdr:to>
      <xdr:col>17</xdr:col>
      <xdr:colOff>390525</xdr:colOff>
      <xdr:row>33</xdr:row>
      <xdr:rowOff>142875</xdr:rowOff>
    </xdr:to>
    <xdr:sp macro="" textlink="">
      <xdr:nvSpPr>
        <xdr:cNvPr id="5" name="Arrow: Pentagon 4">
          <a:extLst>
            <a:ext uri="{FF2B5EF4-FFF2-40B4-BE49-F238E27FC236}">
              <a16:creationId xmlns:a16="http://schemas.microsoft.com/office/drawing/2014/main" id="{12022CD6-1BA3-4407-7181-BB9CA3211C1F}"/>
            </a:ext>
          </a:extLst>
        </xdr:cNvPr>
        <xdr:cNvSpPr/>
      </xdr:nvSpPr>
      <xdr:spPr>
        <a:xfrm flipH="1">
          <a:off x="3343275" y="19051"/>
          <a:ext cx="7410450" cy="6410324"/>
        </a:xfrm>
        <a:prstGeom prst="homePlate">
          <a:avLst>
            <a:gd name="adj" fmla="val 32214"/>
          </a:avLst>
        </a:prstGeom>
        <a:gradFill flip="none" rotWithShape="1">
          <a:gsLst>
            <a:gs pos="31000">
              <a:srgbClr val="2A2A2A"/>
            </a:gs>
            <a:gs pos="44000">
              <a:srgbClr val="595959"/>
            </a:gs>
            <a:gs pos="81000">
              <a:srgbClr val="0D0D0D"/>
            </a:gs>
            <a:gs pos="13000">
              <a:schemeClr val="tx1"/>
            </a:gs>
          </a:gsLst>
          <a:lin ang="0" scaled="0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447675</xdr:colOff>
      <xdr:row>0</xdr:row>
      <xdr:rowOff>47626</xdr:rowOff>
    </xdr:from>
    <xdr:to>
      <xdr:col>18</xdr:col>
      <xdr:colOff>542925</xdr:colOff>
      <xdr:row>33</xdr:row>
      <xdr:rowOff>171450</xdr:rowOff>
    </xdr:to>
    <xdr:sp macro="" textlink="">
      <xdr:nvSpPr>
        <xdr:cNvPr id="4" name="Arrow: Pentagon 3">
          <a:extLst>
            <a:ext uri="{FF2B5EF4-FFF2-40B4-BE49-F238E27FC236}">
              <a16:creationId xmlns:a16="http://schemas.microsoft.com/office/drawing/2014/main" id="{F060579B-BDCC-99CB-F002-2B030E7279D1}"/>
            </a:ext>
          </a:extLst>
        </xdr:cNvPr>
        <xdr:cNvSpPr/>
      </xdr:nvSpPr>
      <xdr:spPr>
        <a:xfrm flipH="1">
          <a:off x="4105275" y="47626"/>
          <a:ext cx="7410450" cy="6410324"/>
        </a:xfrm>
        <a:prstGeom prst="homePlate">
          <a:avLst>
            <a:gd name="adj" fmla="val 32214"/>
          </a:avLst>
        </a:prstGeom>
        <a:gradFill flip="none" rotWithShape="1">
          <a:gsLst>
            <a:gs pos="64000">
              <a:srgbClr val="2A2A2A"/>
            </a:gs>
            <a:gs pos="30000">
              <a:srgbClr val="595959"/>
            </a:gs>
            <a:gs pos="99000">
              <a:srgbClr val="0D0D0D"/>
            </a:gs>
            <a:gs pos="0">
              <a:schemeClr val="tx1"/>
            </a:gs>
          </a:gsLst>
          <a:lin ang="0" scaled="0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600075</xdr:colOff>
      <xdr:row>0</xdr:row>
      <xdr:rowOff>38101</xdr:rowOff>
    </xdr:from>
    <xdr:to>
      <xdr:col>20</xdr:col>
      <xdr:colOff>85725</xdr:colOff>
      <xdr:row>33</xdr:row>
      <xdr:rowOff>161925</xdr:rowOff>
    </xdr:to>
    <xdr:sp macro="" textlink="">
      <xdr:nvSpPr>
        <xdr:cNvPr id="3" name="Arrow: Pentagon 2">
          <a:extLst>
            <a:ext uri="{FF2B5EF4-FFF2-40B4-BE49-F238E27FC236}">
              <a16:creationId xmlns:a16="http://schemas.microsoft.com/office/drawing/2014/main" id="{DD78064B-EFE5-D005-0B1B-69ECF4957D77}"/>
            </a:ext>
          </a:extLst>
        </xdr:cNvPr>
        <xdr:cNvSpPr/>
      </xdr:nvSpPr>
      <xdr:spPr>
        <a:xfrm flipH="1">
          <a:off x="4867275" y="38101"/>
          <a:ext cx="7410450" cy="6410324"/>
        </a:xfrm>
        <a:prstGeom prst="homePlate">
          <a:avLst>
            <a:gd name="adj" fmla="val 32214"/>
          </a:avLst>
        </a:prstGeom>
        <a:gradFill flip="none" rotWithShape="1">
          <a:gsLst>
            <a:gs pos="32000">
              <a:srgbClr val="2A2A2A"/>
            </a:gs>
            <a:gs pos="48000">
              <a:srgbClr val="595959"/>
            </a:gs>
            <a:gs pos="86000">
              <a:srgbClr val="0D0D0D"/>
            </a:gs>
            <a:gs pos="0">
              <a:schemeClr val="tx1"/>
            </a:gs>
          </a:gsLst>
          <a:lin ang="0" scaled="0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142875</xdr:colOff>
      <xdr:row>0</xdr:row>
      <xdr:rowOff>28576</xdr:rowOff>
    </xdr:from>
    <xdr:to>
      <xdr:col>21</xdr:col>
      <xdr:colOff>238125</xdr:colOff>
      <xdr:row>33</xdr:row>
      <xdr:rowOff>152400</xdr:rowOff>
    </xdr:to>
    <xdr:sp macro="" textlink="">
      <xdr:nvSpPr>
        <xdr:cNvPr id="2" name="Arrow: Pentagon 1">
          <a:extLst>
            <a:ext uri="{FF2B5EF4-FFF2-40B4-BE49-F238E27FC236}">
              <a16:creationId xmlns:a16="http://schemas.microsoft.com/office/drawing/2014/main" id="{1992ECEB-8ABE-9EC8-4D6D-6E5933762C07}"/>
            </a:ext>
          </a:extLst>
        </xdr:cNvPr>
        <xdr:cNvSpPr/>
      </xdr:nvSpPr>
      <xdr:spPr>
        <a:xfrm flipH="1">
          <a:off x="5629275" y="28576"/>
          <a:ext cx="7410450" cy="6410324"/>
        </a:xfrm>
        <a:prstGeom prst="homePlate">
          <a:avLst>
            <a:gd name="adj" fmla="val 32214"/>
          </a:avLst>
        </a:prstGeom>
        <a:gradFill flip="none" rotWithShape="1">
          <a:gsLst>
            <a:gs pos="39000">
              <a:srgbClr val="2A2A2A"/>
            </a:gs>
            <a:gs pos="71000">
              <a:srgbClr val="595959"/>
            </a:gs>
            <a:gs pos="93000">
              <a:srgbClr val="0D0D0D"/>
            </a:gs>
            <a:gs pos="0">
              <a:schemeClr val="tx1"/>
            </a:gs>
          </a:gsLst>
          <a:lin ang="0" scaled="0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333375</xdr:colOff>
      <xdr:row>2</xdr:row>
      <xdr:rowOff>180975</xdr:rowOff>
    </xdr:from>
    <xdr:to>
      <xdr:col>13</xdr:col>
      <xdr:colOff>497967</xdr:colOff>
      <xdr:row>7</xdr:row>
      <xdr:rowOff>161163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24B8BD96-DDEB-5578-DDE4-33DC104CD3A9}"/>
            </a:ext>
          </a:extLst>
        </xdr:cNvPr>
        <xdr:cNvSpPr/>
      </xdr:nvSpPr>
      <xdr:spPr>
        <a:xfrm>
          <a:off x="942975" y="561975"/>
          <a:ext cx="7479792" cy="932688"/>
        </a:xfrm>
        <a:prstGeom prst="roundRect">
          <a:avLst>
            <a:gd name="adj" fmla="val 10539"/>
          </a:avLst>
        </a:prstGeom>
        <a:solidFill>
          <a:schemeClr val="tx1">
            <a:lumMod val="95000"/>
            <a:lumOff val="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200"/>
        </a:p>
      </xdr:txBody>
    </xdr:sp>
    <xdr:clientData/>
  </xdr:twoCellAnchor>
  <xdr:twoCellAnchor>
    <xdr:from>
      <xdr:col>0</xdr:col>
      <xdr:colOff>200025</xdr:colOff>
      <xdr:row>1</xdr:row>
      <xdr:rowOff>133351</xdr:rowOff>
    </xdr:from>
    <xdr:to>
      <xdr:col>1</xdr:col>
      <xdr:colOff>152400</xdr:colOff>
      <xdr:row>33</xdr:row>
      <xdr:rowOff>47625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82DE2CF5-2DD2-E6F7-6DB1-E843B77A8AD0}"/>
            </a:ext>
          </a:extLst>
        </xdr:cNvPr>
        <xdr:cNvGrpSpPr/>
      </xdr:nvGrpSpPr>
      <xdr:grpSpPr>
        <a:xfrm>
          <a:off x="200025" y="323851"/>
          <a:ext cx="561975" cy="6010274"/>
          <a:chOff x="95250" y="276226"/>
          <a:chExt cx="561975" cy="6010274"/>
        </a:xfrm>
      </xdr:grpSpPr>
      <xdr:sp macro="" textlink="">
        <xdr:nvSpPr>
          <xdr:cNvPr id="9" name="Rectangle: Rounded Corners 8">
            <a:extLst>
              <a:ext uri="{FF2B5EF4-FFF2-40B4-BE49-F238E27FC236}">
                <a16:creationId xmlns:a16="http://schemas.microsoft.com/office/drawing/2014/main" id="{A497BE79-478A-7FF6-ECE7-AC12494922A8}"/>
              </a:ext>
            </a:extLst>
          </xdr:cNvPr>
          <xdr:cNvSpPr/>
        </xdr:nvSpPr>
        <xdr:spPr>
          <a:xfrm>
            <a:off x="133350" y="276226"/>
            <a:ext cx="523875" cy="6010274"/>
          </a:xfrm>
          <a:prstGeom prst="roundRect">
            <a:avLst>
              <a:gd name="adj" fmla="val 10539"/>
            </a:avLst>
          </a:prstGeom>
          <a:solidFill>
            <a:schemeClr val="bg2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8" name="Rectangle: Rounded Corners 7">
            <a:extLst>
              <a:ext uri="{FF2B5EF4-FFF2-40B4-BE49-F238E27FC236}">
                <a16:creationId xmlns:a16="http://schemas.microsoft.com/office/drawing/2014/main" id="{494AFBC6-0DDD-BB0C-971F-5ABC6A29B52B}"/>
              </a:ext>
            </a:extLst>
          </xdr:cNvPr>
          <xdr:cNvSpPr/>
        </xdr:nvSpPr>
        <xdr:spPr>
          <a:xfrm>
            <a:off x="95250" y="276226"/>
            <a:ext cx="523875" cy="6010274"/>
          </a:xfrm>
          <a:prstGeom prst="roundRect">
            <a:avLst>
              <a:gd name="adj" fmla="val 10539"/>
            </a:avLst>
          </a:prstGeom>
          <a:solidFill>
            <a:schemeClr val="tx1">
              <a:lumMod val="75000"/>
              <a:lumOff val="2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333375</xdr:colOff>
      <xdr:row>3</xdr:row>
      <xdr:rowOff>28575</xdr:rowOff>
    </xdr:from>
    <xdr:to>
      <xdr:col>4</xdr:col>
      <xdr:colOff>9525</xdr:colOff>
      <xdr:row>4</xdr:row>
      <xdr:rowOff>161925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7E1095A-E212-A738-BA00-BB6622460626}"/>
            </a:ext>
          </a:extLst>
        </xdr:cNvPr>
        <xdr:cNvSpPr txBox="1"/>
      </xdr:nvSpPr>
      <xdr:spPr>
        <a:xfrm>
          <a:off x="942975" y="600075"/>
          <a:ext cx="1504950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>
              <a:solidFill>
                <a:schemeClr val="bg2">
                  <a:lumMod val="75000"/>
                </a:schemeClr>
              </a:solidFill>
            </a:rPr>
            <a:t>Total Passengers</a:t>
          </a:r>
        </a:p>
      </xdr:txBody>
    </xdr:sp>
    <xdr:clientData/>
  </xdr:twoCellAnchor>
  <xdr:twoCellAnchor>
    <xdr:from>
      <xdr:col>4</xdr:col>
      <xdr:colOff>263525</xdr:colOff>
      <xdr:row>3</xdr:row>
      <xdr:rowOff>28575</xdr:rowOff>
    </xdr:from>
    <xdr:to>
      <xdr:col>7</xdr:col>
      <xdr:colOff>425450</xdr:colOff>
      <xdr:row>4</xdr:row>
      <xdr:rowOff>161925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C87513E-A2D2-FE0D-DC2F-55DB88993D53}"/>
            </a:ext>
          </a:extLst>
        </xdr:cNvPr>
        <xdr:cNvSpPr txBox="1"/>
      </xdr:nvSpPr>
      <xdr:spPr>
        <a:xfrm>
          <a:off x="2701925" y="600075"/>
          <a:ext cx="1990725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>
              <a:solidFill>
                <a:schemeClr val="bg2">
                  <a:lumMod val="75000"/>
                </a:schemeClr>
              </a:solidFill>
            </a:rPr>
            <a:t>Average Riders Per Trip</a:t>
          </a:r>
        </a:p>
      </xdr:txBody>
    </xdr:sp>
    <xdr:clientData/>
  </xdr:twoCellAnchor>
  <xdr:twoCellAnchor>
    <xdr:from>
      <xdr:col>8</xdr:col>
      <xdr:colOff>69850</xdr:colOff>
      <xdr:row>3</xdr:row>
      <xdr:rowOff>28575</xdr:rowOff>
    </xdr:from>
    <xdr:to>
      <xdr:col>10</xdr:col>
      <xdr:colOff>384175</xdr:colOff>
      <xdr:row>4</xdr:row>
      <xdr:rowOff>161925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268154B-8980-31EA-3625-7B219818D1AA}"/>
            </a:ext>
          </a:extLst>
        </xdr:cNvPr>
        <xdr:cNvSpPr txBox="1"/>
      </xdr:nvSpPr>
      <xdr:spPr>
        <a:xfrm>
          <a:off x="4946650" y="600075"/>
          <a:ext cx="1533525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>
              <a:solidFill>
                <a:schemeClr val="bg2">
                  <a:lumMod val="75000"/>
                </a:schemeClr>
              </a:solidFill>
            </a:rPr>
            <a:t>Busiest Route</a:t>
          </a:r>
        </a:p>
      </xdr:txBody>
    </xdr:sp>
    <xdr:clientData/>
  </xdr:twoCellAnchor>
  <xdr:twoCellAnchor>
    <xdr:from>
      <xdr:col>11</xdr:col>
      <xdr:colOff>28575</xdr:colOff>
      <xdr:row>3</xdr:row>
      <xdr:rowOff>28575</xdr:rowOff>
    </xdr:from>
    <xdr:to>
      <xdr:col>13</xdr:col>
      <xdr:colOff>409575</xdr:colOff>
      <xdr:row>4</xdr:row>
      <xdr:rowOff>161925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0BF876B-EFAE-74EE-778A-2C535B2783CB}"/>
            </a:ext>
          </a:extLst>
        </xdr:cNvPr>
        <xdr:cNvSpPr txBox="1"/>
      </xdr:nvSpPr>
      <xdr:spPr>
        <a:xfrm>
          <a:off x="6734175" y="600075"/>
          <a:ext cx="1600200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>
              <a:solidFill>
                <a:schemeClr val="bg2">
                  <a:lumMod val="75000"/>
                </a:schemeClr>
              </a:solidFill>
            </a:rPr>
            <a:t>Least Busy Route</a:t>
          </a:r>
        </a:p>
      </xdr:txBody>
    </xdr:sp>
    <xdr:clientData/>
  </xdr:twoCellAnchor>
  <xdr:twoCellAnchor>
    <xdr:from>
      <xdr:col>1</xdr:col>
      <xdr:colOff>333375</xdr:colOff>
      <xdr:row>5</xdr:row>
      <xdr:rowOff>76200</xdr:rowOff>
    </xdr:from>
    <xdr:to>
      <xdr:col>4</xdr:col>
      <xdr:colOff>9525</xdr:colOff>
      <xdr:row>7</xdr:row>
      <xdr:rowOff>19050</xdr:rowOff>
    </xdr:to>
    <xdr:sp macro="" textlink="'Analysis 1'!A2">
      <xdr:nvSpPr>
        <xdr:cNvPr id="15" name="TextBox 14">
          <a:extLst>
            <a:ext uri="{FF2B5EF4-FFF2-40B4-BE49-F238E27FC236}">
              <a16:creationId xmlns:a16="http://schemas.microsoft.com/office/drawing/2014/main" id="{B490C70E-FBE3-3572-EF12-0A9A2DE30BCA}"/>
            </a:ext>
          </a:extLst>
        </xdr:cNvPr>
        <xdr:cNvSpPr txBox="1"/>
      </xdr:nvSpPr>
      <xdr:spPr>
        <a:xfrm>
          <a:off x="942975" y="1028700"/>
          <a:ext cx="1504950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FE8B59B-6BC9-4066-A4BE-0AFC6D332B82}" type="TxLink">
            <a:rPr lang="en-US" sz="2000" b="1" i="0" u="none" strike="noStrike">
              <a:solidFill>
                <a:schemeClr val="bg1">
                  <a:lumMod val="95000"/>
                </a:schemeClr>
              </a:solidFill>
              <a:latin typeface="Calibri"/>
              <a:ea typeface="Calibri"/>
              <a:cs typeface="Calibri"/>
            </a:rPr>
            <a:pPr algn="ctr"/>
            <a:t>6,587</a:t>
          </a:fld>
          <a:endParaRPr lang="en-US" sz="2400" b="1">
            <a:solidFill>
              <a:schemeClr val="bg1">
                <a:lumMod val="95000"/>
              </a:schemeClr>
            </a:solidFill>
          </a:endParaRPr>
        </a:p>
      </xdr:txBody>
    </xdr:sp>
    <xdr:clientData/>
  </xdr:twoCellAnchor>
  <xdr:twoCellAnchor>
    <xdr:from>
      <xdr:col>4</xdr:col>
      <xdr:colOff>504825</xdr:colOff>
      <xdr:row>5</xdr:row>
      <xdr:rowOff>85725</xdr:rowOff>
    </xdr:from>
    <xdr:to>
      <xdr:col>7</xdr:col>
      <xdr:colOff>180975</xdr:colOff>
      <xdr:row>7</xdr:row>
      <xdr:rowOff>28575</xdr:rowOff>
    </xdr:to>
    <xdr:sp macro="" textlink="'Analysis 1'!B2">
      <xdr:nvSpPr>
        <xdr:cNvPr id="16" name="TextBox 15">
          <a:extLst>
            <a:ext uri="{FF2B5EF4-FFF2-40B4-BE49-F238E27FC236}">
              <a16:creationId xmlns:a16="http://schemas.microsoft.com/office/drawing/2014/main" id="{491D6CB4-4E51-84F6-EFD9-AA418F614AAC}"/>
            </a:ext>
          </a:extLst>
        </xdr:cNvPr>
        <xdr:cNvSpPr txBox="1"/>
      </xdr:nvSpPr>
      <xdr:spPr>
        <a:xfrm>
          <a:off x="2943225" y="1038225"/>
          <a:ext cx="1504950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DDAF2EC-F13B-4355-A57E-C5DFBBB3B976}" type="TxLink">
            <a:rPr lang="en-US" sz="1600" b="1" i="0" u="none" strike="noStrike">
              <a:solidFill>
                <a:schemeClr val="bg1">
                  <a:lumMod val="95000"/>
                </a:schemeClr>
              </a:solidFill>
              <a:latin typeface="Calibri"/>
              <a:ea typeface="Calibri"/>
              <a:cs typeface="Calibri"/>
            </a:rPr>
            <a:pPr algn="ctr"/>
            <a:t>33</a:t>
          </a:fld>
          <a:endParaRPr lang="en-US" sz="1800" b="1">
            <a:solidFill>
              <a:schemeClr val="bg1">
                <a:lumMod val="95000"/>
              </a:schemeClr>
            </a:solidFill>
          </a:endParaRPr>
        </a:p>
      </xdr:txBody>
    </xdr:sp>
    <xdr:clientData/>
  </xdr:twoCellAnchor>
  <xdr:twoCellAnchor>
    <xdr:from>
      <xdr:col>7</xdr:col>
      <xdr:colOff>581025</xdr:colOff>
      <xdr:row>5</xdr:row>
      <xdr:rowOff>85725</xdr:rowOff>
    </xdr:from>
    <xdr:to>
      <xdr:col>10</xdr:col>
      <xdr:colOff>381000</xdr:colOff>
      <xdr:row>7</xdr:row>
      <xdr:rowOff>28575</xdr:rowOff>
    </xdr:to>
    <xdr:sp macro="" textlink="'Analysis 1'!B7">
      <xdr:nvSpPr>
        <xdr:cNvPr id="17" name="TextBox 16">
          <a:extLst>
            <a:ext uri="{FF2B5EF4-FFF2-40B4-BE49-F238E27FC236}">
              <a16:creationId xmlns:a16="http://schemas.microsoft.com/office/drawing/2014/main" id="{62210466-1525-A654-50E9-4E67713CC8E1}"/>
            </a:ext>
          </a:extLst>
        </xdr:cNvPr>
        <xdr:cNvSpPr txBox="1"/>
      </xdr:nvSpPr>
      <xdr:spPr>
        <a:xfrm>
          <a:off x="4848225" y="1038225"/>
          <a:ext cx="1628775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E71A7ED-1847-47F5-BC62-5CA34DF0F5B3}" type="TxLink">
            <a:rPr lang="en-US" sz="1400" b="1" i="0" u="none" strike="noStrike">
              <a:solidFill>
                <a:schemeClr val="bg1">
                  <a:lumMod val="95000"/>
                </a:schemeClr>
              </a:solidFill>
              <a:latin typeface="Calibri"/>
              <a:ea typeface="Calibri"/>
              <a:cs typeface="Calibri"/>
            </a:rPr>
            <a:pPr algn="ctr"/>
            <a:t>East-West Express</a:t>
          </a:fld>
          <a:endParaRPr lang="en-US" sz="1600" b="1">
            <a:solidFill>
              <a:schemeClr val="bg1">
                <a:lumMod val="95000"/>
              </a:schemeClr>
            </a:solidFill>
          </a:endParaRPr>
        </a:p>
      </xdr:txBody>
    </xdr:sp>
    <xdr:clientData/>
  </xdr:twoCellAnchor>
  <xdr:twoCellAnchor>
    <xdr:from>
      <xdr:col>11</xdr:col>
      <xdr:colOff>95250</xdr:colOff>
      <xdr:row>5</xdr:row>
      <xdr:rowOff>85725</xdr:rowOff>
    </xdr:from>
    <xdr:to>
      <xdr:col>13</xdr:col>
      <xdr:colOff>381000</xdr:colOff>
      <xdr:row>7</xdr:row>
      <xdr:rowOff>28575</xdr:rowOff>
    </xdr:to>
    <xdr:sp macro="" textlink="'Analysis 1'!B12">
      <xdr:nvSpPr>
        <xdr:cNvPr id="18" name="TextBox 17">
          <a:extLst>
            <a:ext uri="{FF2B5EF4-FFF2-40B4-BE49-F238E27FC236}">
              <a16:creationId xmlns:a16="http://schemas.microsoft.com/office/drawing/2014/main" id="{CD0F9660-14EE-7419-0886-7FC890B588A8}"/>
            </a:ext>
          </a:extLst>
        </xdr:cNvPr>
        <xdr:cNvSpPr txBox="1"/>
      </xdr:nvSpPr>
      <xdr:spPr>
        <a:xfrm>
          <a:off x="6800850" y="1038225"/>
          <a:ext cx="1504950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B18C5D4-ACBE-4B53-94A1-9D0E8F9EC686}" type="TxLink">
            <a:rPr lang="en-US" sz="1400" b="1" i="0" u="none" strike="noStrike">
              <a:solidFill>
                <a:schemeClr val="bg1">
                  <a:lumMod val="95000"/>
                </a:schemeClr>
              </a:solidFill>
              <a:latin typeface="Calibri"/>
              <a:ea typeface="Calibri"/>
              <a:cs typeface="Calibri"/>
            </a:rPr>
            <a:pPr algn="ctr"/>
            <a:t>South Line</a:t>
          </a:fld>
          <a:endParaRPr lang="en-US" sz="1600" b="1">
            <a:solidFill>
              <a:schemeClr val="bg1">
                <a:lumMod val="95000"/>
              </a:schemeClr>
            </a:solidFill>
          </a:endParaRPr>
        </a:p>
      </xdr:txBody>
    </xdr:sp>
    <xdr:clientData/>
  </xdr:twoCellAnchor>
  <xdr:twoCellAnchor>
    <xdr:from>
      <xdr:col>2</xdr:col>
      <xdr:colOff>19050</xdr:colOff>
      <xdr:row>5</xdr:row>
      <xdr:rowOff>11431</xdr:rowOff>
    </xdr:from>
    <xdr:to>
      <xdr:col>13</xdr:col>
      <xdr:colOff>180975</xdr:colOff>
      <xdr:row>5</xdr:row>
      <xdr:rowOff>57150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754CA054-2CDA-3050-3E9E-90904F444F0D}"/>
            </a:ext>
          </a:extLst>
        </xdr:cNvPr>
        <xdr:cNvSpPr/>
      </xdr:nvSpPr>
      <xdr:spPr>
        <a:xfrm>
          <a:off x="1238250" y="963931"/>
          <a:ext cx="6867525" cy="45719"/>
        </a:xfrm>
        <a:prstGeom prst="rect">
          <a:avLst/>
        </a:prstGeom>
        <a:gradFill>
          <a:gsLst>
            <a:gs pos="1000">
              <a:schemeClr val="tx1"/>
            </a:gs>
            <a:gs pos="50000">
              <a:srgbClr val="595959"/>
            </a:gs>
            <a:gs pos="100000">
              <a:schemeClr val="tx1"/>
            </a:gs>
          </a:gsLst>
          <a:lin ang="0" scaled="0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19050</xdr:colOff>
      <xdr:row>5</xdr:row>
      <xdr:rowOff>0</xdr:rowOff>
    </xdr:from>
    <xdr:to>
      <xdr:col>6</xdr:col>
      <xdr:colOff>123825</xdr:colOff>
      <xdr:row>5</xdr:row>
      <xdr:rowOff>104775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1B7EF7D7-6D0F-2A7B-1437-5958BC1D04DF}"/>
            </a:ext>
          </a:extLst>
        </xdr:cNvPr>
        <xdr:cNvSpPr/>
      </xdr:nvSpPr>
      <xdr:spPr>
        <a:xfrm>
          <a:off x="3676650" y="952500"/>
          <a:ext cx="104775" cy="104775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466725</xdr:colOff>
      <xdr:row>4</xdr:row>
      <xdr:rowOff>180975</xdr:rowOff>
    </xdr:from>
    <xdr:to>
      <xdr:col>2</xdr:col>
      <xdr:colOff>571500</xdr:colOff>
      <xdr:row>5</xdr:row>
      <xdr:rowOff>95250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DF3C4436-4BFF-0AD9-B6B0-2209FFCA0D50}"/>
            </a:ext>
          </a:extLst>
        </xdr:cNvPr>
        <xdr:cNvSpPr/>
      </xdr:nvSpPr>
      <xdr:spPr>
        <a:xfrm>
          <a:off x="1685925" y="942975"/>
          <a:ext cx="104775" cy="104775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209550</xdr:colOff>
      <xdr:row>5</xdr:row>
      <xdr:rowOff>9525</xdr:rowOff>
    </xdr:from>
    <xdr:to>
      <xdr:col>9</xdr:col>
      <xdr:colOff>314325</xdr:colOff>
      <xdr:row>5</xdr:row>
      <xdr:rowOff>114300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BD55AE15-9292-F11F-C5CE-3C6E56C95396}"/>
            </a:ext>
          </a:extLst>
        </xdr:cNvPr>
        <xdr:cNvSpPr/>
      </xdr:nvSpPr>
      <xdr:spPr>
        <a:xfrm>
          <a:off x="5695950" y="962025"/>
          <a:ext cx="104775" cy="104775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304800</xdr:colOff>
      <xdr:row>5</xdr:row>
      <xdr:rowOff>0</xdr:rowOff>
    </xdr:from>
    <xdr:to>
      <xdr:col>12</xdr:col>
      <xdr:colOff>409575</xdr:colOff>
      <xdr:row>5</xdr:row>
      <xdr:rowOff>104775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7C319B80-C98D-C018-9635-50F67A719723}"/>
            </a:ext>
          </a:extLst>
        </xdr:cNvPr>
        <xdr:cNvSpPr/>
      </xdr:nvSpPr>
      <xdr:spPr>
        <a:xfrm>
          <a:off x="7620000" y="952500"/>
          <a:ext cx="104775" cy="104775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171450</xdr:colOff>
      <xdr:row>0</xdr:row>
      <xdr:rowOff>161925</xdr:rowOff>
    </xdr:from>
    <xdr:to>
      <xdr:col>6</xdr:col>
      <xdr:colOff>152400</xdr:colOff>
      <xdr:row>2</xdr:row>
      <xdr:rowOff>104775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033173B-49A9-A01C-550A-EDF5AB0108EB}"/>
            </a:ext>
          </a:extLst>
        </xdr:cNvPr>
        <xdr:cNvSpPr txBox="1"/>
      </xdr:nvSpPr>
      <xdr:spPr>
        <a:xfrm>
          <a:off x="781050" y="161925"/>
          <a:ext cx="3028950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>
              <a:solidFill>
                <a:schemeClr val="tx2">
                  <a:lumMod val="40000"/>
                  <a:lumOff val="60000"/>
                </a:schemeClr>
              </a:solidFill>
            </a:rPr>
            <a:t>Transportations</a:t>
          </a:r>
          <a:r>
            <a:rPr lang="en-US" sz="1800" b="1">
              <a:solidFill>
                <a:schemeClr val="bg2">
                  <a:lumMod val="75000"/>
                </a:schemeClr>
              </a:solidFill>
            </a:rPr>
            <a:t> Dashboard</a:t>
          </a:r>
        </a:p>
      </xdr:txBody>
    </xdr:sp>
    <xdr:clientData/>
  </xdr:twoCellAnchor>
  <xdr:twoCellAnchor>
    <xdr:from>
      <xdr:col>1</xdr:col>
      <xdr:colOff>333375</xdr:colOff>
      <xdr:row>9</xdr:row>
      <xdr:rowOff>66675</xdr:rowOff>
    </xdr:from>
    <xdr:to>
      <xdr:col>8</xdr:col>
      <xdr:colOff>594360</xdr:colOff>
      <xdr:row>23</xdr:row>
      <xdr:rowOff>76200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CA0E0A68-A86A-7C71-FDF7-630162476CFC}"/>
            </a:ext>
          </a:extLst>
        </xdr:cNvPr>
        <xdr:cNvGrpSpPr/>
      </xdr:nvGrpSpPr>
      <xdr:grpSpPr>
        <a:xfrm>
          <a:off x="942975" y="1781175"/>
          <a:ext cx="4528185" cy="2676525"/>
          <a:chOff x="942975" y="1943100"/>
          <a:chExt cx="4528185" cy="2752725"/>
        </a:xfrm>
      </xdr:grpSpPr>
      <xdr:sp macro="" textlink="">
        <xdr:nvSpPr>
          <xdr:cNvPr id="23" name="Rectangle: Rounded Corners 22">
            <a:extLst>
              <a:ext uri="{FF2B5EF4-FFF2-40B4-BE49-F238E27FC236}">
                <a16:creationId xmlns:a16="http://schemas.microsoft.com/office/drawing/2014/main" id="{0E73047C-305B-C3E3-C760-47CDE087E2E8}"/>
              </a:ext>
            </a:extLst>
          </xdr:cNvPr>
          <xdr:cNvSpPr/>
        </xdr:nvSpPr>
        <xdr:spPr>
          <a:xfrm>
            <a:off x="990600" y="1952625"/>
            <a:ext cx="4480560" cy="2743200"/>
          </a:xfrm>
          <a:prstGeom prst="roundRect">
            <a:avLst>
              <a:gd name="adj" fmla="val 5678"/>
            </a:avLst>
          </a:prstGeom>
          <a:solidFill>
            <a:schemeClr val="bg2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200"/>
          </a:p>
        </xdr:txBody>
      </xdr:sp>
      <xdr:sp macro="" textlink="">
        <xdr:nvSpPr>
          <xdr:cNvPr id="20" name="Rectangle: Rounded Corners 19">
            <a:extLst>
              <a:ext uri="{FF2B5EF4-FFF2-40B4-BE49-F238E27FC236}">
                <a16:creationId xmlns:a16="http://schemas.microsoft.com/office/drawing/2014/main" id="{EA043CFE-23FA-9AE0-C624-051B295F62CB}"/>
              </a:ext>
            </a:extLst>
          </xdr:cNvPr>
          <xdr:cNvSpPr/>
        </xdr:nvSpPr>
        <xdr:spPr>
          <a:xfrm>
            <a:off x="942975" y="1943100"/>
            <a:ext cx="4480560" cy="2743200"/>
          </a:xfrm>
          <a:prstGeom prst="roundRect">
            <a:avLst>
              <a:gd name="adj" fmla="val 5678"/>
            </a:avLst>
          </a:prstGeom>
          <a:solidFill>
            <a:schemeClr val="tx1">
              <a:lumMod val="95000"/>
              <a:lumOff val="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200"/>
          </a:p>
        </xdr:txBody>
      </xdr:sp>
    </xdr:grpSp>
    <xdr:clientData/>
  </xdr:twoCellAnchor>
  <xdr:twoCellAnchor>
    <xdr:from>
      <xdr:col>1</xdr:col>
      <xdr:colOff>552451</xdr:colOff>
      <xdr:row>10</xdr:row>
      <xdr:rowOff>0</xdr:rowOff>
    </xdr:from>
    <xdr:to>
      <xdr:col>7</xdr:col>
      <xdr:colOff>514351</xdr:colOff>
      <xdr:row>11</xdr:row>
      <xdr:rowOff>133350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8B6B4197-101C-1E16-EB0B-0613DD34E6CF}"/>
            </a:ext>
          </a:extLst>
        </xdr:cNvPr>
        <xdr:cNvSpPr txBox="1"/>
      </xdr:nvSpPr>
      <xdr:spPr>
        <a:xfrm>
          <a:off x="1162051" y="1905000"/>
          <a:ext cx="3619500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>
              <a:solidFill>
                <a:schemeClr val="bg2">
                  <a:lumMod val="75000"/>
                </a:schemeClr>
              </a:solidFill>
            </a:rPr>
            <a:t>Bus Utilization By Time Range (</a:t>
          </a:r>
          <a:r>
            <a:rPr lang="en-US" sz="1050" b="1">
              <a:solidFill>
                <a:schemeClr val="bg2">
                  <a:lumMod val="75000"/>
                </a:schemeClr>
              </a:solidFill>
            </a:rPr>
            <a:t>Total Passegers By Time)</a:t>
          </a:r>
          <a:endParaRPr lang="en-US" sz="1200" b="1">
            <a:solidFill>
              <a:schemeClr val="bg2">
                <a:lumMod val="75000"/>
              </a:schemeClr>
            </a:solidFill>
          </a:endParaRPr>
        </a:p>
      </xdr:txBody>
    </xdr:sp>
    <xdr:clientData/>
  </xdr:twoCellAnchor>
  <xdr:twoCellAnchor>
    <xdr:from>
      <xdr:col>1</xdr:col>
      <xdr:colOff>523875</xdr:colOff>
      <xdr:row>10</xdr:row>
      <xdr:rowOff>114300</xdr:rowOff>
    </xdr:from>
    <xdr:to>
      <xdr:col>2</xdr:col>
      <xdr:colOff>19050</xdr:colOff>
      <xdr:row>11</xdr:row>
      <xdr:rowOff>28575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B477B54C-2939-E45E-989C-DD022464508C}"/>
            </a:ext>
          </a:extLst>
        </xdr:cNvPr>
        <xdr:cNvSpPr/>
      </xdr:nvSpPr>
      <xdr:spPr>
        <a:xfrm>
          <a:off x="1133475" y="2019300"/>
          <a:ext cx="104775" cy="104775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485776</xdr:colOff>
      <xdr:row>12</xdr:row>
      <xdr:rowOff>19052</xdr:rowOff>
    </xdr:from>
    <xdr:to>
      <xdr:col>5</xdr:col>
      <xdr:colOff>561975</xdr:colOff>
      <xdr:row>21</xdr:row>
      <xdr:rowOff>142876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A00D9FF9-ACC3-4E15-831A-BD0D3AA64A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561975</xdr:colOff>
      <xdr:row>11</xdr:row>
      <xdr:rowOff>152402</xdr:rowOff>
    </xdr:from>
    <xdr:to>
      <xdr:col>7</xdr:col>
      <xdr:colOff>285749</xdr:colOff>
      <xdr:row>13</xdr:row>
      <xdr:rowOff>104776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23B4E2A6-D26E-D646-720C-679926758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19575" y="2247902"/>
          <a:ext cx="333374" cy="333374"/>
        </a:xfrm>
        <a:prstGeom prst="rect">
          <a:avLst/>
        </a:prstGeom>
      </xdr:spPr>
    </xdr:pic>
    <xdr:clientData/>
  </xdr:twoCellAnchor>
  <xdr:twoCellAnchor editAs="oneCell">
    <xdr:from>
      <xdr:col>6</xdr:col>
      <xdr:colOff>454798</xdr:colOff>
      <xdr:row>16</xdr:row>
      <xdr:rowOff>81511</xdr:rowOff>
    </xdr:from>
    <xdr:to>
      <xdr:col>7</xdr:col>
      <xdr:colOff>266699</xdr:colOff>
      <xdr:row>18</xdr:row>
      <xdr:rowOff>122012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3396A901-478C-2581-0D96-C5447D1CF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12398" y="3129511"/>
          <a:ext cx="421501" cy="421501"/>
        </a:xfrm>
        <a:prstGeom prst="rect">
          <a:avLst/>
        </a:prstGeom>
      </xdr:spPr>
    </xdr:pic>
    <xdr:clientData/>
  </xdr:twoCellAnchor>
  <xdr:twoCellAnchor>
    <xdr:from>
      <xdr:col>5</xdr:col>
      <xdr:colOff>409576</xdr:colOff>
      <xdr:row>13</xdr:row>
      <xdr:rowOff>114300</xdr:rowOff>
    </xdr:from>
    <xdr:to>
      <xdr:col>8</xdr:col>
      <xdr:colOff>257175</xdr:colOff>
      <xdr:row>15</xdr:row>
      <xdr:rowOff>9525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979D8C80-C33C-C040-BC34-FC88BF1F21F3}"/>
            </a:ext>
          </a:extLst>
        </xdr:cNvPr>
        <xdr:cNvSpPr txBox="1"/>
      </xdr:nvSpPr>
      <xdr:spPr>
        <a:xfrm>
          <a:off x="3457576" y="2590800"/>
          <a:ext cx="1676399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1">
              <a:solidFill>
                <a:schemeClr val="bg2">
                  <a:lumMod val="75000"/>
                </a:schemeClr>
              </a:solidFill>
            </a:rPr>
            <a:t>Peak Hour of Operation</a:t>
          </a:r>
        </a:p>
      </xdr:txBody>
    </xdr:sp>
    <xdr:clientData/>
  </xdr:twoCellAnchor>
  <xdr:twoCellAnchor>
    <xdr:from>
      <xdr:col>5</xdr:col>
      <xdr:colOff>285749</xdr:colOff>
      <xdr:row>18</xdr:row>
      <xdr:rowOff>104776</xdr:rowOff>
    </xdr:from>
    <xdr:to>
      <xdr:col>8</xdr:col>
      <xdr:colOff>371474</xdr:colOff>
      <xdr:row>19</xdr:row>
      <xdr:rowOff>180976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4821348D-27CC-45AB-A872-A3829A1EAAC8}"/>
            </a:ext>
          </a:extLst>
        </xdr:cNvPr>
        <xdr:cNvSpPr txBox="1"/>
      </xdr:nvSpPr>
      <xdr:spPr>
        <a:xfrm>
          <a:off x="3333749" y="3533776"/>
          <a:ext cx="1914525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0" i="1">
              <a:solidFill>
                <a:schemeClr val="bg2">
                  <a:lumMod val="75000"/>
                </a:schemeClr>
              </a:solidFill>
            </a:rPr>
            <a:t>Off-Peak Hour of Operation</a:t>
          </a:r>
        </a:p>
      </xdr:txBody>
    </xdr:sp>
    <xdr:clientData/>
  </xdr:twoCellAnchor>
  <xdr:twoCellAnchor>
    <xdr:from>
      <xdr:col>5</xdr:col>
      <xdr:colOff>323850</xdr:colOff>
      <xdr:row>14</xdr:row>
      <xdr:rowOff>142875</xdr:rowOff>
    </xdr:from>
    <xdr:to>
      <xdr:col>8</xdr:col>
      <xdr:colOff>342900</xdr:colOff>
      <xdr:row>16</xdr:row>
      <xdr:rowOff>38100</xdr:rowOff>
    </xdr:to>
    <xdr:sp macro="" textlink="'Analysis 1'!L5">
      <xdr:nvSpPr>
        <xdr:cNvPr id="37" name="TextBox 36">
          <a:extLst>
            <a:ext uri="{FF2B5EF4-FFF2-40B4-BE49-F238E27FC236}">
              <a16:creationId xmlns:a16="http://schemas.microsoft.com/office/drawing/2014/main" id="{7C1127EF-6582-0333-995D-6307CE6A808A}"/>
            </a:ext>
          </a:extLst>
        </xdr:cNvPr>
        <xdr:cNvSpPr txBox="1"/>
      </xdr:nvSpPr>
      <xdr:spPr>
        <a:xfrm>
          <a:off x="3371850" y="2809875"/>
          <a:ext cx="184785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79D71FC2-348C-47D9-A2B9-575F8D85B5E4}" type="TxLink">
            <a:rPr lang="en-US" sz="1400" b="1" i="0" u="none" strike="noStrike">
              <a:solidFill>
                <a:schemeClr val="bg1">
                  <a:lumMod val="95000"/>
                </a:schemeClr>
              </a:solidFill>
              <a:latin typeface="Calibri"/>
              <a:ea typeface="Calibri"/>
              <a:cs typeface="Calibri"/>
            </a:rPr>
            <a:pPr marL="0" indent="0" algn="ctr"/>
            <a:t>11:41:00 AM</a:t>
          </a:fld>
          <a:endParaRPr lang="en-US" sz="1400" b="1" i="0" u="none" strike="noStrike">
            <a:solidFill>
              <a:schemeClr val="bg1">
                <a:lumMod val="9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5</xdr:col>
      <xdr:colOff>323850</xdr:colOff>
      <xdr:row>20</xdr:row>
      <xdr:rowOff>0</xdr:rowOff>
    </xdr:from>
    <xdr:to>
      <xdr:col>8</xdr:col>
      <xdr:colOff>342900</xdr:colOff>
      <xdr:row>21</xdr:row>
      <xdr:rowOff>85725</xdr:rowOff>
    </xdr:to>
    <xdr:sp macro="" textlink="'Analysis 1'!O6">
      <xdr:nvSpPr>
        <xdr:cNvPr id="38" name="TextBox 37">
          <a:extLst>
            <a:ext uri="{FF2B5EF4-FFF2-40B4-BE49-F238E27FC236}">
              <a16:creationId xmlns:a16="http://schemas.microsoft.com/office/drawing/2014/main" id="{BECF1C0E-8576-97D4-42E8-50AA0258A0AF}"/>
            </a:ext>
          </a:extLst>
        </xdr:cNvPr>
        <xdr:cNvSpPr txBox="1"/>
      </xdr:nvSpPr>
      <xdr:spPr>
        <a:xfrm>
          <a:off x="3371850" y="3810000"/>
          <a:ext cx="184785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81E9EAA8-0789-40D2-A549-932C299AAFF6}" type="TxLink">
            <a:rPr lang="en-US" sz="1400" b="1" i="0" u="none" strike="noStrike">
              <a:solidFill>
                <a:schemeClr val="bg1">
                  <a:lumMod val="95000"/>
                </a:schemeClr>
              </a:solidFill>
              <a:latin typeface="Calibri"/>
              <a:ea typeface="Calibri"/>
              <a:cs typeface="Calibri"/>
            </a:rPr>
            <a:pPr marL="0" indent="0" algn="ctr"/>
            <a:t>12:34:00 PM</a:t>
          </a:fld>
          <a:endParaRPr lang="en-US" sz="1400" b="1" i="0" u="none" strike="noStrike">
            <a:solidFill>
              <a:schemeClr val="bg1">
                <a:lumMod val="9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</xdr:col>
      <xdr:colOff>333375</xdr:colOff>
      <xdr:row>24</xdr:row>
      <xdr:rowOff>161926</xdr:rowOff>
    </xdr:from>
    <xdr:to>
      <xdr:col>8</xdr:col>
      <xdr:colOff>590549</xdr:colOff>
      <xdr:row>33</xdr:row>
      <xdr:rowOff>0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B1E7D958-BF0E-F9F2-5B27-1BD0DE4BECDB}"/>
            </a:ext>
          </a:extLst>
        </xdr:cNvPr>
        <xdr:cNvGrpSpPr/>
      </xdr:nvGrpSpPr>
      <xdr:grpSpPr>
        <a:xfrm>
          <a:off x="942975" y="4733926"/>
          <a:ext cx="4524374" cy="1552574"/>
          <a:chOff x="942975" y="1943100"/>
          <a:chExt cx="4528185" cy="2752725"/>
        </a:xfrm>
      </xdr:grpSpPr>
      <xdr:sp macro="" textlink="">
        <xdr:nvSpPr>
          <xdr:cNvPr id="33" name="Rectangle: Rounded Corners 32">
            <a:extLst>
              <a:ext uri="{FF2B5EF4-FFF2-40B4-BE49-F238E27FC236}">
                <a16:creationId xmlns:a16="http://schemas.microsoft.com/office/drawing/2014/main" id="{3DDD6E51-25AC-9899-DD9F-07685E7220F8}"/>
              </a:ext>
            </a:extLst>
          </xdr:cNvPr>
          <xdr:cNvSpPr/>
        </xdr:nvSpPr>
        <xdr:spPr>
          <a:xfrm>
            <a:off x="990600" y="1952625"/>
            <a:ext cx="4480560" cy="2743200"/>
          </a:xfrm>
          <a:prstGeom prst="roundRect">
            <a:avLst>
              <a:gd name="adj" fmla="val 5678"/>
            </a:avLst>
          </a:prstGeom>
          <a:solidFill>
            <a:schemeClr val="bg2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200"/>
          </a:p>
        </xdr:txBody>
      </xdr:sp>
      <xdr:sp macro="" textlink="">
        <xdr:nvSpPr>
          <xdr:cNvPr id="40" name="Rectangle: Rounded Corners 39">
            <a:extLst>
              <a:ext uri="{FF2B5EF4-FFF2-40B4-BE49-F238E27FC236}">
                <a16:creationId xmlns:a16="http://schemas.microsoft.com/office/drawing/2014/main" id="{6985DA3E-0CAC-C42A-69A6-09E5659344B8}"/>
              </a:ext>
            </a:extLst>
          </xdr:cNvPr>
          <xdr:cNvSpPr/>
        </xdr:nvSpPr>
        <xdr:spPr>
          <a:xfrm>
            <a:off x="942975" y="1943100"/>
            <a:ext cx="4480560" cy="2743200"/>
          </a:xfrm>
          <a:prstGeom prst="roundRect">
            <a:avLst>
              <a:gd name="adj" fmla="val 5678"/>
            </a:avLst>
          </a:prstGeom>
          <a:solidFill>
            <a:schemeClr val="tx1">
              <a:lumMod val="95000"/>
              <a:lumOff val="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200"/>
          </a:p>
        </xdr:txBody>
      </xdr:sp>
    </xdr:grpSp>
    <xdr:clientData/>
  </xdr:twoCellAnchor>
  <xdr:twoCellAnchor>
    <xdr:from>
      <xdr:col>1</xdr:col>
      <xdr:colOff>419100</xdr:colOff>
      <xdr:row>27</xdr:row>
      <xdr:rowOff>28574</xdr:rowOff>
    </xdr:from>
    <xdr:to>
      <xdr:col>6</xdr:col>
      <xdr:colOff>371475</xdr:colOff>
      <xdr:row>32</xdr:row>
      <xdr:rowOff>180975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4DAC9844-C305-4F4E-9A87-0A38277173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523878</xdr:colOff>
      <xdr:row>25</xdr:row>
      <xdr:rowOff>104775</xdr:rowOff>
    </xdr:from>
    <xdr:to>
      <xdr:col>5</xdr:col>
      <xdr:colOff>400050</xdr:colOff>
      <xdr:row>27</xdr:row>
      <xdr:rowOff>47625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395A9F03-E10B-4DC8-3A23-1763EB7CDAE7}"/>
            </a:ext>
          </a:extLst>
        </xdr:cNvPr>
        <xdr:cNvSpPr txBox="1"/>
      </xdr:nvSpPr>
      <xdr:spPr>
        <a:xfrm>
          <a:off x="1133478" y="4867275"/>
          <a:ext cx="2314572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>
              <a:solidFill>
                <a:schemeClr val="bg2">
                  <a:lumMod val="75000"/>
                </a:schemeClr>
              </a:solidFill>
            </a:rPr>
            <a:t>Total Risers (Yearly Distribution)</a:t>
          </a:r>
        </a:p>
      </xdr:txBody>
    </xdr:sp>
    <xdr:clientData/>
  </xdr:twoCellAnchor>
  <xdr:twoCellAnchor>
    <xdr:from>
      <xdr:col>1</xdr:col>
      <xdr:colOff>504825</xdr:colOff>
      <xdr:row>26</xdr:row>
      <xdr:rowOff>28575</xdr:rowOff>
    </xdr:from>
    <xdr:to>
      <xdr:col>2</xdr:col>
      <xdr:colOff>0</xdr:colOff>
      <xdr:row>26</xdr:row>
      <xdr:rowOff>133350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5E7FDF36-26A0-0898-5FE9-E9C64A2C3B00}"/>
            </a:ext>
          </a:extLst>
        </xdr:cNvPr>
        <xdr:cNvSpPr/>
      </xdr:nvSpPr>
      <xdr:spPr>
        <a:xfrm>
          <a:off x="1114425" y="4981575"/>
          <a:ext cx="104775" cy="104775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428628</xdr:colOff>
      <xdr:row>25</xdr:row>
      <xdr:rowOff>171450</xdr:rowOff>
    </xdr:from>
    <xdr:to>
      <xdr:col>7</xdr:col>
      <xdr:colOff>238125</xdr:colOff>
      <xdr:row>27</xdr:row>
      <xdr:rowOff>114300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70EB48C2-E5DB-037A-F806-36968CD04ABA}"/>
            </a:ext>
          </a:extLst>
        </xdr:cNvPr>
        <xdr:cNvSpPr txBox="1"/>
      </xdr:nvSpPr>
      <xdr:spPr>
        <a:xfrm>
          <a:off x="3476628" y="4933950"/>
          <a:ext cx="1028697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>
              <a:solidFill>
                <a:schemeClr val="bg2">
                  <a:lumMod val="75000"/>
                </a:schemeClr>
              </a:solidFill>
            </a:rPr>
            <a:t>YoY</a:t>
          </a:r>
          <a:r>
            <a:rPr lang="en-US" sz="1200" b="1" baseline="0">
              <a:solidFill>
                <a:schemeClr val="bg2">
                  <a:lumMod val="75000"/>
                </a:schemeClr>
              </a:solidFill>
            </a:rPr>
            <a:t> Change</a:t>
          </a:r>
          <a:endParaRPr lang="en-US" sz="1200" b="1">
            <a:solidFill>
              <a:schemeClr val="bg2">
                <a:lumMod val="75000"/>
              </a:schemeClr>
            </a:solidFill>
          </a:endParaRPr>
        </a:p>
      </xdr:txBody>
    </xdr:sp>
    <xdr:clientData/>
  </xdr:twoCellAnchor>
  <xdr:twoCellAnchor>
    <xdr:from>
      <xdr:col>5</xdr:col>
      <xdr:colOff>419103</xdr:colOff>
      <xdr:row>27</xdr:row>
      <xdr:rowOff>0</xdr:rowOff>
    </xdr:from>
    <xdr:to>
      <xdr:col>7</xdr:col>
      <xdr:colOff>228600</xdr:colOff>
      <xdr:row>28</xdr:row>
      <xdr:rowOff>133350</xdr:rowOff>
    </xdr:to>
    <xdr:sp macro="" textlink="'Analysis 1'!T11">
      <xdr:nvSpPr>
        <xdr:cNvPr id="44" name="TextBox 43">
          <a:extLst>
            <a:ext uri="{FF2B5EF4-FFF2-40B4-BE49-F238E27FC236}">
              <a16:creationId xmlns:a16="http://schemas.microsoft.com/office/drawing/2014/main" id="{D592CA34-1B11-5A0E-9D63-A5F88BD5FFA2}"/>
            </a:ext>
          </a:extLst>
        </xdr:cNvPr>
        <xdr:cNvSpPr txBox="1"/>
      </xdr:nvSpPr>
      <xdr:spPr>
        <a:xfrm>
          <a:off x="3467103" y="5143500"/>
          <a:ext cx="1028697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33314C0F-CCB7-4F70-AAC7-02AB7B9035C8}" type="TxLink">
            <a:rPr lang="en-US" sz="1400" b="1" i="0" u="none" strike="noStrike">
              <a:solidFill>
                <a:schemeClr val="bg1">
                  <a:lumMod val="95000"/>
                </a:schemeClr>
              </a:solidFill>
              <a:latin typeface="Calibri"/>
              <a:ea typeface="Calibri"/>
              <a:cs typeface="Calibri"/>
            </a:rPr>
            <a:pPr marL="0" indent="0" algn="ctr"/>
            <a:t>-83.50%</a:t>
          </a:fld>
          <a:endParaRPr lang="en-US" sz="1400" b="1" i="0" u="none" strike="noStrike">
            <a:solidFill>
              <a:schemeClr val="bg1">
                <a:lumMod val="9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6</xdr:col>
      <xdr:colOff>133354</xdr:colOff>
      <xdr:row>28</xdr:row>
      <xdr:rowOff>47625</xdr:rowOff>
    </xdr:from>
    <xdr:to>
      <xdr:col>6</xdr:col>
      <xdr:colOff>523876</xdr:colOff>
      <xdr:row>30</xdr:row>
      <xdr:rowOff>38099</xdr:rowOff>
    </xdr:to>
    <xdr:sp macro="" textlink="'Analysis 1'!U11">
      <xdr:nvSpPr>
        <xdr:cNvPr id="45" name="TextBox 44">
          <a:extLst>
            <a:ext uri="{FF2B5EF4-FFF2-40B4-BE49-F238E27FC236}">
              <a16:creationId xmlns:a16="http://schemas.microsoft.com/office/drawing/2014/main" id="{26C380A0-D513-7721-FA38-7B1200A545BE}"/>
            </a:ext>
          </a:extLst>
        </xdr:cNvPr>
        <xdr:cNvSpPr txBox="1"/>
      </xdr:nvSpPr>
      <xdr:spPr>
        <a:xfrm>
          <a:off x="3790954" y="5381625"/>
          <a:ext cx="390522" cy="371474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marL="0" indent="0" algn="ctr"/>
          <a:fld id="{A606018E-03E8-4E91-AAC1-9566BD4F44FF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marL="0" indent="0" algn="ctr"/>
            <a:t>⬇️</a:t>
          </a:fld>
          <a:endParaRPr lang="en-US" sz="1400" b="1" i="0" u="none" strike="noStrike">
            <a:solidFill>
              <a:schemeClr val="tx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7</xdr:col>
      <xdr:colOff>190501</xdr:colOff>
      <xdr:row>25</xdr:row>
      <xdr:rowOff>142875</xdr:rowOff>
    </xdr:from>
    <xdr:to>
      <xdr:col>8</xdr:col>
      <xdr:colOff>485775</xdr:colOff>
      <xdr:row>32</xdr:row>
      <xdr:rowOff>9525</xdr:rowOff>
    </xdr:to>
    <xdr:sp macro="" textlink="">
      <xdr:nvSpPr>
        <xdr:cNvPr id="46" name="Rectangle: Rounded Corners 45">
          <a:extLst>
            <a:ext uri="{FF2B5EF4-FFF2-40B4-BE49-F238E27FC236}">
              <a16:creationId xmlns:a16="http://schemas.microsoft.com/office/drawing/2014/main" id="{F282BD9A-A41B-C454-5F26-396D165E7949}"/>
            </a:ext>
          </a:extLst>
        </xdr:cNvPr>
        <xdr:cNvSpPr/>
      </xdr:nvSpPr>
      <xdr:spPr>
        <a:xfrm>
          <a:off x="4457701" y="4905375"/>
          <a:ext cx="904874" cy="1200150"/>
        </a:xfrm>
        <a:prstGeom prst="roundRect">
          <a:avLst>
            <a:gd name="adj" fmla="val 6667"/>
          </a:avLst>
        </a:prstGeom>
        <a:gradFill>
          <a:gsLst>
            <a:gs pos="18000">
              <a:schemeClr val="tx1">
                <a:lumMod val="95000"/>
                <a:lumOff val="5000"/>
              </a:schemeClr>
            </a:gs>
            <a:gs pos="55000">
              <a:schemeClr val="tx1">
                <a:lumMod val="65000"/>
                <a:lumOff val="35000"/>
              </a:schemeClr>
            </a:gs>
            <a:gs pos="37000">
              <a:schemeClr val="tx1">
                <a:lumMod val="65000"/>
                <a:lumOff val="35000"/>
              </a:schemeClr>
            </a:gs>
            <a:gs pos="82000">
              <a:schemeClr val="tx1">
                <a:lumMod val="95000"/>
                <a:lumOff val="5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85725</xdr:colOff>
      <xdr:row>26</xdr:row>
      <xdr:rowOff>47625</xdr:rowOff>
    </xdr:from>
    <xdr:to>
      <xdr:col>8</xdr:col>
      <xdr:colOff>581025</xdr:colOff>
      <xdr:row>32</xdr:row>
      <xdr:rowOff>9525</xdr:rowOff>
    </xdr:to>
    <xdr:sp macro="" textlink="'Analysis 1'!T15">
      <xdr:nvSpPr>
        <xdr:cNvPr id="47" name="TextBox 46">
          <a:extLst>
            <a:ext uri="{FF2B5EF4-FFF2-40B4-BE49-F238E27FC236}">
              <a16:creationId xmlns:a16="http://schemas.microsoft.com/office/drawing/2014/main" id="{C2234922-C296-7B09-5964-7C8D64C7B73C}"/>
            </a:ext>
          </a:extLst>
        </xdr:cNvPr>
        <xdr:cNvSpPr txBox="1"/>
      </xdr:nvSpPr>
      <xdr:spPr>
        <a:xfrm>
          <a:off x="4352925" y="5000625"/>
          <a:ext cx="1104900" cy="1104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8DC4B8A-ED56-4085-A1ED-81D79EF9A82C}" type="TxLink">
            <a:rPr lang="en-US" sz="1200" b="1" i="1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YoY Change Suggests Room For Improvement</a:t>
          </a:fld>
          <a:endParaRPr lang="en-US" sz="1200" b="1" i="1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371475</xdr:colOff>
      <xdr:row>24</xdr:row>
      <xdr:rowOff>19050</xdr:rowOff>
    </xdr:from>
    <xdr:to>
      <xdr:col>8</xdr:col>
      <xdr:colOff>276225</xdr:colOff>
      <xdr:row>26</xdr:row>
      <xdr:rowOff>152400</xdr:rowOff>
    </xdr:to>
    <xdr:sp macro="" textlink="">
      <xdr:nvSpPr>
        <xdr:cNvPr id="48" name="Oval 47">
          <a:extLst>
            <a:ext uri="{FF2B5EF4-FFF2-40B4-BE49-F238E27FC236}">
              <a16:creationId xmlns:a16="http://schemas.microsoft.com/office/drawing/2014/main" id="{C7632862-D675-4A53-64DD-8DDB9927ED25}"/>
            </a:ext>
          </a:extLst>
        </xdr:cNvPr>
        <xdr:cNvSpPr/>
      </xdr:nvSpPr>
      <xdr:spPr>
        <a:xfrm>
          <a:off x="4638675" y="4591050"/>
          <a:ext cx="514350" cy="514350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7</xdr:col>
      <xdr:colOff>409575</xdr:colOff>
      <xdr:row>24</xdr:row>
      <xdr:rowOff>57151</xdr:rowOff>
    </xdr:from>
    <xdr:to>
      <xdr:col>8</xdr:col>
      <xdr:colOff>228600</xdr:colOff>
      <xdr:row>26</xdr:row>
      <xdr:rowOff>104776</xdr:rowOff>
    </xdr:to>
    <xdr:pic>
      <xdr:nvPicPr>
        <xdr:cNvPr id="50" name="Graphic 49" descr="Lightbulb with solid fill">
          <a:extLst>
            <a:ext uri="{FF2B5EF4-FFF2-40B4-BE49-F238E27FC236}">
              <a16:creationId xmlns:a16="http://schemas.microsoft.com/office/drawing/2014/main" id="{BA315ACF-1267-2F3E-2D24-5BF3CE13C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676775" y="4629151"/>
          <a:ext cx="428625" cy="428625"/>
        </a:xfrm>
        <a:prstGeom prst="rect">
          <a:avLst/>
        </a:prstGeom>
      </xdr:spPr>
    </xdr:pic>
    <xdr:clientData/>
  </xdr:twoCellAnchor>
  <xdr:twoCellAnchor>
    <xdr:from>
      <xdr:col>9</xdr:col>
      <xdr:colOff>200025</xdr:colOff>
      <xdr:row>9</xdr:row>
      <xdr:rowOff>76201</xdr:rowOff>
    </xdr:from>
    <xdr:to>
      <xdr:col>13</xdr:col>
      <xdr:colOff>581025</xdr:colOff>
      <xdr:row>33</xdr:row>
      <xdr:rowOff>28575</xdr:rowOff>
    </xdr:to>
    <xdr:grpSp>
      <xdr:nvGrpSpPr>
        <xdr:cNvPr id="52" name="Group 51">
          <a:extLst>
            <a:ext uri="{FF2B5EF4-FFF2-40B4-BE49-F238E27FC236}">
              <a16:creationId xmlns:a16="http://schemas.microsoft.com/office/drawing/2014/main" id="{61B57B15-23C8-5D06-59B9-86DA210C27C6}"/>
            </a:ext>
          </a:extLst>
        </xdr:cNvPr>
        <xdr:cNvGrpSpPr/>
      </xdr:nvGrpSpPr>
      <xdr:grpSpPr>
        <a:xfrm>
          <a:off x="5686425" y="1790701"/>
          <a:ext cx="2819400" cy="4524374"/>
          <a:chOff x="942975" y="1943100"/>
          <a:chExt cx="4528185" cy="2752725"/>
        </a:xfrm>
      </xdr:grpSpPr>
      <xdr:sp macro="" textlink="">
        <xdr:nvSpPr>
          <xdr:cNvPr id="53" name="Rectangle: Rounded Corners 52">
            <a:extLst>
              <a:ext uri="{FF2B5EF4-FFF2-40B4-BE49-F238E27FC236}">
                <a16:creationId xmlns:a16="http://schemas.microsoft.com/office/drawing/2014/main" id="{F2F49659-5B49-4B2C-B719-EB32E7672B12}"/>
              </a:ext>
            </a:extLst>
          </xdr:cNvPr>
          <xdr:cNvSpPr/>
        </xdr:nvSpPr>
        <xdr:spPr>
          <a:xfrm>
            <a:off x="990600" y="1952625"/>
            <a:ext cx="4480560" cy="2743200"/>
          </a:xfrm>
          <a:prstGeom prst="roundRect">
            <a:avLst>
              <a:gd name="adj" fmla="val 5678"/>
            </a:avLst>
          </a:prstGeom>
          <a:solidFill>
            <a:schemeClr val="bg2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200"/>
          </a:p>
        </xdr:txBody>
      </xdr:sp>
      <xdr:sp macro="" textlink="">
        <xdr:nvSpPr>
          <xdr:cNvPr id="54" name="Rectangle: Rounded Corners 53">
            <a:extLst>
              <a:ext uri="{FF2B5EF4-FFF2-40B4-BE49-F238E27FC236}">
                <a16:creationId xmlns:a16="http://schemas.microsoft.com/office/drawing/2014/main" id="{3F6BC670-A0AE-77F7-3FE9-B8E0A061FB25}"/>
              </a:ext>
            </a:extLst>
          </xdr:cNvPr>
          <xdr:cNvSpPr/>
        </xdr:nvSpPr>
        <xdr:spPr>
          <a:xfrm>
            <a:off x="942975" y="1943100"/>
            <a:ext cx="4480560" cy="2743200"/>
          </a:xfrm>
          <a:prstGeom prst="roundRect">
            <a:avLst>
              <a:gd name="adj" fmla="val 5678"/>
            </a:avLst>
          </a:prstGeom>
          <a:solidFill>
            <a:schemeClr val="tx1">
              <a:lumMod val="95000"/>
              <a:lumOff val="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200"/>
          </a:p>
        </xdr:txBody>
      </xdr:sp>
    </xdr:grpSp>
    <xdr:clientData/>
  </xdr:twoCellAnchor>
  <xdr:twoCellAnchor>
    <xdr:from>
      <xdr:col>9</xdr:col>
      <xdr:colOff>238125</xdr:colOff>
      <xdr:row>25</xdr:row>
      <xdr:rowOff>190499</xdr:rowOff>
    </xdr:from>
    <xdr:to>
      <xdr:col>13</xdr:col>
      <xdr:colOff>523875</xdr:colOff>
      <xdr:row>32</xdr:row>
      <xdr:rowOff>152400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587B6FF2-60AF-445E-877E-5E81D339A4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266700</xdr:colOff>
      <xdr:row>21</xdr:row>
      <xdr:rowOff>95250</xdr:rowOff>
    </xdr:from>
    <xdr:to>
      <xdr:col>13</xdr:col>
      <xdr:colOff>438150</xdr:colOff>
      <xdr:row>26</xdr:row>
      <xdr:rowOff>47625</xdr:rowOff>
    </xdr:to>
    <xdr:sp macro="" textlink="'Analysis 1'!AB17">
      <xdr:nvSpPr>
        <xdr:cNvPr id="49" name="TextBox 48">
          <a:extLst>
            <a:ext uri="{FF2B5EF4-FFF2-40B4-BE49-F238E27FC236}">
              <a16:creationId xmlns:a16="http://schemas.microsoft.com/office/drawing/2014/main" id="{6BCC4319-ACA6-9EDF-2A03-7B8CB3FA8613}"/>
            </a:ext>
          </a:extLst>
        </xdr:cNvPr>
        <xdr:cNvSpPr txBox="1"/>
      </xdr:nvSpPr>
      <xdr:spPr>
        <a:xfrm>
          <a:off x="5753100" y="4095750"/>
          <a:ext cx="2609850" cy="904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3F3706B4-F3E4-432B-9C84-3651E5CE2451}" type="TxLink">
            <a:rPr lang="en-US" sz="1100" b="0" i="1">
              <a:solidFill>
                <a:schemeClr val="bg2">
                  <a:lumMod val="75000"/>
                </a:schemeClr>
              </a:solidFill>
              <a:latin typeface="+mn-lt"/>
              <a:ea typeface="+mn-ea"/>
              <a:cs typeface="+mn-cs"/>
            </a:rPr>
            <a:pPr marL="0" indent="0" algn="ctr"/>
            <a:t>Emphasis on highlighted days of the week: they exceeded the 941 passengers average and accounted for 49.4% of the Total passengers</a:t>
          </a:fld>
          <a:endParaRPr lang="en-US" sz="1100" b="0" i="1">
            <a:solidFill>
              <a:schemeClr val="bg2">
                <a:lumMod val="7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457199</xdr:colOff>
      <xdr:row>20</xdr:row>
      <xdr:rowOff>28575</xdr:rowOff>
    </xdr:from>
    <xdr:to>
      <xdr:col>13</xdr:col>
      <xdr:colOff>104774</xdr:colOff>
      <xdr:row>21</xdr:row>
      <xdr:rowOff>161925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989BBBB9-627B-94CA-98F5-6ED71AE9E25D}"/>
            </a:ext>
          </a:extLst>
        </xdr:cNvPr>
        <xdr:cNvSpPr txBox="1"/>
      </xdr:nvSpPr>
      <xdr:spPr>
        <a:xfrm>
          <a:off x="5943599" y="3838575"/>
          <a:ext cx="2085975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>
              <a:solidFill>
                <a:schemeClr val="bg2">
                  <a:lumMod val="75000"/>
                </a:schemeClr>
              </a:solidFill>
            </a:rPr>
            <a:t>Riders Weekdays Distribution</a:t>
          </a:r>
        </a:p>
      </xdr:txBody>
    </xdr:sp>
    <xdr:clientData/>
  </xdr:twoCellAnchor>
  <xdr:twoCellAnchor>
    <xdr:from>
      <xdr:col>9</xdr:col>
      <xdr:colOff>390525</xdr:colOff>
      <xdr:row>20</xdr:row>
      <xdr:rowOff>152400</xdr:rowOff>
    </xdr:from>
    <xdr:to>
      <xdr:col>9</xdr:col>
      <xdr:colOff>495300</xdr:colOff>
      <xdr:row>21</xdr:row>
      <xdr:rowOff>66675</xdr:rowOff>
    </xdr:to>
    <xdr:sp macro="" textlink="">
      <xdr:nvSpPr>
        <xdr:cNvPr id="56" name="Oval 55">
          <a:extLst>
            <a:ext uri="{FF2B5EF4-FFF2-40B4-BE49-F238E27FC236}">
              <a16:creationId xmlns:a16="http://schemas.microsoft.com/office/drawing/2014/main" id="{DDF7B249-52BD-AFD6-D39B-4BCFBF0FE818}"/>
            </a:ext>
          </a:extLst>
        </xdr:cNvPr>
        <xdr:cNvSpPr/>
      </xdr:nvSpPr>
      <xdr:spPr>
        <a:xfrm>
          <a:off x="5876925" y="3962400"/>
          <a:ext cx="104775" cy="104775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266700</xdr:colOff>
      <xdr:row>12</xdr:row>
      <xdr:rowOff>85725</xdr:rowOff>
    </xdr:from>
    <xdr:to>
      <xdr:col>13</xdr:col>
      <xdr:colOff>533399</xdr:colOff>
      <xdr:row>20</xdr:row>
      <xdr:rowOff>28575</xdr:rowOff>
    </xdr:to>
    <xdr:graphicFrame macro="">
      <xdr:nvGraphicFramePr>
        <xdr:cNvPr id="57" name="Chart 56">
          <a:extLst>
            <a:ext uri="{FF2B5EF4-FFF2-40B4-BE49-F238E27FC236}">
              <a16:creationId xmlns:a16="http://schemas.microsoft.com/office/drawing/2014/main" id="{6E5177BD-4EF7-4AA3-8B27-AD8A23CD2D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476249</xdr:colOff>
      <xdr:row>10</xdr:row>
      <xdr:rowOff>66675</xdr:rowOff>
    </xdr:from>
    <xdr:to>
      <xdr:col>13</xdr:col>
      <xdr:colOff>123824</xdr:colOff>
      <xdr:row>12</xdr:row>
      <xdr:rowOff>9525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CDE9E9B0-4591-542F-D2F1-45D7BFA12470}"/>
            </a:ext>
          </a:extLst>
        </xdr:cNvPr>
        <xdr:cNvSpPr txBox="1"/>
      </xdr:nvSpPr>
      <xdr:spPr>
        <a:xfrm>
          <a:off x="5962649" y="1971675"/>
          <a:ext cx="2085975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>
              <a:solidFill>
                <a:schemeClr val="bg2">
                  <a:lumMod val="75000"/>
                </a:schemeClr>
              </a:solidFill>
            </a:rPr>
            <a:t>Riders Monthly Distribution</a:t>
          </a:r>
        </a:p>
      </xdr:txBody>
    </xdr:sp>
    <xdr:clientData/>
  </xdr:twoCellAnchor>
  <xdr:twoCellAnchor>
    <xdr:from>
      <xdr:col>9</xdr:col>
      <xdr:colOff>438150</xdr:colOff>
      <xdr:row>11</xdr:row>
      <xdr:rowOff>0</xdr:rowOff>
    </xdr:from>
    <xdr:to>
      <xdr:col>9</xdr:col>
      <xdr:colOff>542925</xdr:colOff>
      <xdr:row>11</xdr:row>
      <xdr:rowOff>104775</xdr:rowOff>
    </xdr:to>
    <xdr:sp macro="" textlink="">
      <xdr:nvSpPr>
        <xdr:cNvPr id="59" name="Oval 58">
          <a:extLst>
            <a:ext uri="{FF2B5EF4-FFF2-40B4-BE49-F238E27FC236}">
              <a16:creationId xmlns:a16="http://schemas.microsoft.com/office/drawing/2014/main" id="{26BC95CF-F0A8-73EB-612A-89EC4C537A4D}"/>
            </a:ext>
          </a:extLst>
        </xdr:cNvPr>
        <xdr:cNvSpPr/>
      </xdr:nvSpPr>
      <xdr:spPr>
        <a:xfrm>
          <a:off x="5924550" y="2095500"/>
          <a:ext cx="104775" cy="104775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276225</xdr:colOff>
      <xdr:row>20</xdr:row>
      <xdr:rowOff>11431</xdr:rowOff>
    </xdr:from>
    <xdr:to>
      <xdr:col>13</xdr:col>
      <xdr:colOff>466725</xdr:colOff>
      <xdr:row>20</xdr:row>
      <xdr:rowOff>57150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382B6C2B-7928-E6AC-F136-C242B2B41215}"/>
            </a:ext>
          </a:extLst>
        </xdr:cNvPr>
        <xdr:cNvSpPr/>
      </xdr:nvSpPr>
      <xdr:spPr>
        <a:xfrm>
          <a:off x="5762625" y="3821431"/>
          <a:ext cx="2628900" cy="45719"/>
        </a:xfrm>
        <a:prstGeom prst="rect">
          <a:avLst/>
        </a:prstGeom>
        <a:gradFill>
          <a:gsLst>
            <a:gs pos="1000">
              <a:schemeClr val="tx1"/>
            </a:gs>
            <a:gs pos="50000">
              <a:srgbClr val="595959"/>
            </a:gs>
            <a:gs pos="100000">
              <a:schemeClr val="tx1"/>
            </a:gs>
          </a:gsLst>
          <a:lin ang="0" scaled="0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</xdr:row>
      <xdr:rowOff>180975</xdr:rowOff>
    </xdr:from>
    <xdr:to>
      <xdr:col>20</xdr:col>
      <xdr:colOff>485775</xdr:colOff>
      <xdr:row>33</xdr:row>
      <xdr:rowOff>28575</xdr:rowOff>
    </xdr:to>
    <xdr:grpSp>
      <xdr:nvGrpSpPr>
        <xdr:cNvPr id="65" name="Group 64">
          <a:extLst>
            <a:ext uri="{FF2B5EF4-FFF2-40B4-BE49-F238E27FC236}">
              <a16:creationId xmlns:a16="http://schemas.microsoft.com/office/drawing/2014/main" id="{384D3530-59E0-FF6B-F4E0-B3C6C7C68CCF}"/>
            </a:ext>
          </a:extLst>
        </xdr:cNvPr>
        <xdr:cNvGrpSpPr/>
      </xdr:nvGrpSpPr>
      <xdr:grpSpPr>
        <a:xfrm>
          <a:off x="8715375" y="561975"/>
          <a:ext cx="3962400" cy="5753100"/>
          <a:chOff x="942975" y="1943100"/>
          <a:chExt cx="4528185" cy="2752725"/>
        </a:xfrm>
      </xdr:grpSpPr>
      <xdr:sp macro="" textlink="">
        <xdr:nvSpPr>
          <xdr:cNvPr id="66" name="Rectangle: Rounded Corners 65">
            <a:extLst>
              <a:ext uri="{FF2B5EF4-FFF2-40B4-BE49-F238E27FC236}">
                <a16:creationId xmlns:a16="http://schemas.microsoft.com/office/drawing/2014/main" id="{4675750A-8215-41B2-E79D-9893A89FB5F5}"/>
              </a:ext>
            </a:extLst>
          </xdr:cNvPr>
          <xdr:cNvSpPr/>
        </xdr:nvSpPr>
        <xdr:spPr>
          <a:xfrm>
            <a:off x="990600" y="1952625"/>
            <a:ext cx="4480560" cy="2743200"/>
          </a:xfrm>
          <a:prstGeom prst="roundRect">
            <a:avLst>
              <a:gd name="adj" fmla="val 5678"/>
            </a:avLst>
          </a:prstGeom>
          <a:solidFill>
            <a:schemeClr val="bg2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200"/>
          </a:p>
        </xdr:txBody>
      </xdr:sp>
      <xdr:sp macro="" textlink="">
        <xdr:nvSpPr>
          <xdr:cNvPr id="67" name="Rectangle: Rounded Corners 66">
            <a:extLst>
              <a:ext uri="{FF2B5EF4-FFF2-40B4-BE49-F238E27FC236}">
                <a16:creationId xmlns:a16="http://schemas.microsoft.com/office/drawing/2014/main" id="{F123D99D-4F03-10CF-CF0C-A17FBDA68C4C}"/>
              </a:ext>
            </a:extLst>
          </xdr:cNvPr>
          <xdr:cNvSpPr/>
        </xdr:nvSpPr>
        <xdr:spPr>
          <a:xfrm>
            <a:off x="942975" y="1943100"/>
            <a:ext cx="4480560" cy="2743200"/>
          </a:xfrm>
          <a:prstGeom prst="roundRect">
            <a:avLst>
              <a:gd name="adj" fmla="val 5678"/>
            </a:avLst>
          </a:prstGeom>
          <a:solidFill>
            <a:schemeClr val="tx1">
              <a:lumMod val="95000"/>
              <a:lumOff val="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200"/>
          </a:p>
        </xdr:txBody>
      </xdr:sp>
    </xdr:grpSp>
    <xdr:clientData/>
  </xdr:twoCellAnchor>
  <xdr:twoCellAnchor>
    <xdr:from>
      <xdr:col>17</xdr:col>
      <xdr:colOff>609599</xdr:colOff>
      <xdr:row>4</xdr:row>
      <xdr:rowOff>133350</xdr:rowOff>
    </xdr:from>
    <xdr:to>
      <xdr:col>20</xdr:col>
      <xdr:colOff>276224</xdr:colOff>
      <xdr:row>11</xdr:row>
      <xdr:rowOff>123826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811C7C09-5748-48B9-ACF1-59E0E434E5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14</xdr:col>
      <xdr:colOff>457199</xdr:colOff>
      <xdr:row>4</xdr:row>
      <xdr:rowOff>133350</xdr:rowOff>
    </xdr:from>
    <xdr:to>
      <xdr:col>17</xdr:col>
      <xdr:colOff>123824</xdr:colOff>
      <xdr:row>11</xdr:row>
      <xdr:rowOff>123826</xdr:rowOff>
    </xdr:to>
    <xdr:graphicFrame macro="">
      <xdr:nvGraphicFramePr>
        <xdr:cNvPr id="62" name="Chart 61">
          <a:extLst>
            <a:ext uri="{FF2B5EF4-FFF2-40B4-BE49-F238E27FC236}">
              <a16:creationId xmlns:a16="http://schemas.microsoft.com/office/drawing/2014/main" id="{9A318533-45EF-47FF-08F5-99D637B161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257174</xdr:colOff>
      <xdr:row>12</xdr:row>
      <xdr:rowOff>142875</xdr:rowOff>
    </xdr:from>
    <xdr:to>
      <xdr:col>18</xdr:col>
      <xdr:colOff>533399</xdr:colOff>
      <xdr:row>19</xdr:row>
      <xdr:rowOff>133351</xdr:rowOff>
    </xdr:to>
    <xdr:graphicFrame macro="">
      <xdr:nvGraphicFramePr>
        <xdr:cNvPr id="63" name="Chart 62">
          <a:extLst>
            <a:ext uri="{FF2B5EF4-FFF2-40B4-BE49-F238E27FC236}">
              <a16:creationId xmlns:a16="http://schemas.microsoft.com/office/drawing/2014/main" id="{B7DD2E68-1E09-7F40-28E7-D84DE38A05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18</xdr:col>
      <xdr:colOff>409575</xdr:colOff>
      <xdr:row>7</xdr:row>
      <xdr:rowOff>0</xdr:rowOff>
    </xdr:from>
    <xdr:to>
      <xdr:col>19</xdr:col>
      <xdr:colOff>552450</xdr:colOff>
      <xdr:row>8</xdr:row>
      <xdr:rowOff>161925</xdr:rowOff>
    </xdr:to>
    <xdr:sp macro="" textlink="'Analysis 1'!AN12">
      <xdr:nvSpPr>
        <xdr:cNvPr id="64" name="TextBox 63">
          <a:extLst>
            <a:ext uri="{FF2B5EF4-FFF2-40B4-BE49-F238E27FC236}">
              <a16:creationId xmlns:a16="http://schemas.microsoft.com/office/drawing/2014/main" id="{2D660E74-F5E7-BE80-75B5-348501AC9306}"/>
            </a:ext>
          </a:extLst>
        </xdr:cNvPr>
        <xdr:cNvSpPr txBox="1"/>
      </xdr:nvSpPr>
      <xdr:spPr>
        <a:xfrm>
          <a:off x="11382375" y="1333500"/>
          <a:ext cx="752475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31622EC-1E51-4DF2-9136-9E5B846E0662}" type="TxLink">
            <a:rPr lang="en-US" sz="2400" b="1" i="0" u="none" strike="noStrike">
              <a:solidFill>
                <a:schemeClr val="accent1">
                  <a:lumMod val="60000"/>
                  <a:lumOff val="40000"/>
                </a:schemeClr>
              </a:solidFill>
              <a:latin typeface="Calibri"/>
              <a:ea typeface="Calibri"/>
              <a:cs typeface="Calibri"/>
            </a:rPr>
            <a:pPr/>
            <a:t>25%</a:t>
          </a:fld>
          <a:endParaRPr lang="en-US" sz="2400" b="1">
            <a:solidFill>
              <a:schemeClr val="accent1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15</xdr:col>
      <xdr:colOff>219075</xdr:colOff>
      <xdr:row>6</xdr:row>
      <xdr:rowOff>171450</xdr:rowOff>
    </xdr:from>
    <xdr:to>
      <xdr:col>16</xdr:col>
      <xdr:colOff>323850</xdr:colOff>
      <xdr:row>8</xdr:row>
      <xdr:rowOff>142875</xdr:rowOff>
    </xdr:to>
    <xdr:sp macro="" textlink="'Analysis 1'!AN13">
      <xdr:nvSpPr>
        <xdr:cNvPr id="68" name="TextBox 67">
          <a:extLst>
            <a:ext uri="{FF2B5EF4-FFF2-40B4-BE49-F238E27FC236}">
              <a16:creationId xmlns:a16="http://schemas.microsoft.com/office/drawing/2014/main" id="{4086CF13-83D1-3549-83A7-DA3A032A001F}"/>
            </a:ext>
          </a:extLst>
        </xdr:cNvPr>
        <xdr:cNvSpPr txBox="1"/>
      </xdr:nvSpPr>
      <xdr:spPr>
        <a:xfrm>
          <a:off x="9363075" y="1314450"/>
          <a:ext cx="714375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42FB8F4F-D14B-49F6-909A-11AF7A69477C}" type="TxLink">
            <a:rPr lang="en-US" sz="2400" b="1" i="0" u="none" strike="noStrike">
              <a:solidFill>
                <a:schemeClr val="accent1">
                  <a:lumMod val="75000"/>
                </a:schemeClr>
              </a:solidFill>
              <a:latin typeface="Calibri"/>
              <a:ea typeface="Calibri"/>
              <a:cs typeface="Calibri"/>
            </a:rPr>
            <a:pPr marL="0" indent="0"/>
            <a:t>28%</a:t>
          </a:fld>
          <a:endParaRPr lang="en-US" sz="2400" b="1" i="0" u="none" strike="noStrike">
            <a:solidFill>
              <a:schemeClr val="accent1">
                <a:lumMod val="7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17</xdr:col>
      <xdr:colOff>38100</xdr:colOff>
      <xdr:row>15</xdr:row>
      <xdr:rowOff>19050</xdr:rowOff>
    </xdr:from>
    <xdr:to>
      <xdr:col>18</xdr:col>
      <xdr:colOff>161925</xdr:colOff>
      <xdr:row>16</xdr:row>
      <xdr:rowOff>180975</xdr:rowOff>
    </xdr:to>
    <xdr:sp macro="" textlink="'Analysis 1'!AN14">
      <xdr:nvSpPr>
        <xdr:cNvPr id="69" name="TextBox 68">
          <a:extLst>
            <a:ext uri="{FF2B5EF4-FFF2-40B4-BE49-F238E27FC236}">
              <a16:creationId xmlns:a16="http://schemas.microsoft.com/office/drawing/2014/main" id="{8FFCB52F-5D34-A659-9936-5E35F1E55A19}"/>
            </a:ext>
          </a:extLst>
        </xdr:cNvPr>
        <xdr:cNvSpPr txBox="1"/>
      </xdr:nvSpPr>
      <xdr:spPr>
        <a:xfrm>
          <a:off x="10401300" y="2876550"/>
          <a:ext cx="733425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99C5900F-E8F7-4C1E-8752-66A0D6AB5AF7}" type="TxLink">
            <a:rPr lang="en-US" sz="2400" b="1" i="0" u="none" strike="noStrike">
              <a:solidFill>
                <a:schemeClr val="tx2">
                  <a:lumMod val="75000"/>
                </a:schemeClr>
              </a:solidFill>
              <a:latin typeface="Calibri"/>
              <a:ea typeface="Calibri"/>
              <a:cs typeface="Calibri"/>
            </a:rPr>
            <a:pPr marL="0" indent="0"/>
            <a:t>48%</a:t>
          </a:fld>
          <a:endParaRPr lang="en-US" sz="2400" b="1" i="0" u="none" strike="noStrike">
            <a:solidFill>
              <a:schemeClr val="tx2">
                <a:lumMod val="7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17</xdr:col>
      <xdr:colOff>561975</xdr:colOff>
      <xdr:row>11</xdr:row>
      <xdr:rowOff>104775</xdr:rowOff>
    </xdr:from>
    <xdr:to>
      <xdr:col>20</xdr:col>
      <xdr:colOff>361950</xdr:colOff>
      <xdr:row>13</xdr:row>
      <xdr:rowOff>47625</xdr:rowOff>
    </xdr:to>
    <xdr:sp macro="" textlink="'Analysis 1'!AM12">
      <xdr:nvSpPr>
        <xdr:cNvPr id="70" name="TextBox 69">
          <a:extLst>
            <a:ext uri="{FF2B5EF4-FFF2-40B4-BE49-F238E27FC236}">
              <a16:creationId xmlns:a16="http://schemas.microsoft.com/office/drawing/2014/main" id="{37310AA7-AB04-4C37-1F5D-27791D451F3B}"/>
            </a:ext>
          </a:extLst>
        </xdr:cNvPr>
        <xdr:cNvSpPr txBox="1"/>
      </xdr:nvSpPr>
      <xdr:spPr>
        <a:xfrm>
          <a:off x="10925175" y="2200275"/>
          <a:ext cx="1628775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47EDCD3-5C89-4D52-8297-2C2FE5FE5DF3}" type="TxLink">
            <a:rPr lang="en-US" sz="1200" b="1" i="1" u="none" strike="noStrike">
              <a:solidFill>
                <a:schemeClr val="tx2">
                  <a:lumMod val="60000"/>
                  <a:lumOff val="40000"/>
                </a:schemeClr>
              </a:solidFill>
              <a:latin typeface="Calibri"/>
              <a:ea typeface="Calibri"/>
              <a:cs typeface="Calibri"/>
            </a:rPr>
            <a:pPr algn="ctr"/>
            <a:t>Over-Utilized</a:t>
          </a:fld>
          <a:endParaRPr lang="en-US" sz="1800" b="1" i="1">
            <a:solidFill>
              <a:schemeClr val="tx2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14</xdr:col>
      <xdr:colOff>428625</xdr:colOff>
      <xdr:row>11</xdr:row>
      <xdr:rowOff>95250</xdr:rowOff>
    </xdr:from>
    <xdr:to>
      <xdr:col>17</xdr:col>
      <xdr:colOff>228600</xdr:colOff>
      <xdr:row>13</xdr:row>
      <xdr:rowOff>38100</xdr:rowOff>
    </xdr:to>
    <xdr:sp macro="" textlink="'Analysis 1'!AM13">
      <xdr:nvSpPr>
        <xdr:cNvPr id="71" name="TextBox 70">
          <a:extLst>
            <a:ext uri="{FF2B5EF4-FFF2-40B4-BE49-F238E27FC236}">
              <a16:creationId xmlns:a16="http://schemas.microsoft.com/office/drawing/2014/main" id="{656C453B-68DF-A5B7-9AF5-32001C38BACF}"/>
            </a:ext>
          </a:extLst>
        </xdr:cNvPr>
        <xdr:cNvSpPr txBox="1"/>
      </xdr:nvSpPr>
      <xdr:spPr>
        <a:xfrm>
          <a:off x="8963025" y="2190750"/>
          <a:ext cx="1628775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61B36A5-89DC-4EA8-8266-F88B1E10EC7D}" type="TxLink">
            <a:rPr lang="en-US" sz="1200" b="1" i="1" u="none" strike="noStrike">
              <a:solidFill>
                <a:schemeClr val="accent1">
                  <a:lumMod val="75000"/>
                </a:schemeClr>
              </a:solidFill>
              <a:latin typeface="Calibri"/>
              <a:ea typeface="Calibri"/>
              <a:cs typeface="Calibri"/>
            </a:rPr>
            <a:pPr algn="ctr"/>
            <a:t>Under-Utilized</a:t>
          </a:fld>
          <a:endParaRPr lang="en-US" sz="1800" b="1" i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16</xdr:col>
      <xdr:colOff>190500</xdr:colOff>
      <xdr:row>19</xdr:row>
      <xdr:rowOff>85725</xdr:rowOff>
    </xdr:from>
    <xdr:to>
      <xdr:col>18</xdr:col>
      <xdr:colOff>600075</xdr:colOff>
      <xdr:row>21</xdr:row>
      <xdr:rowOff>28575</xdr:rowOff>
    </xdr:to>
    <xdr:sp macro="" textlink="'Analysis 1'!AM14">
      <xdr:nvSpPr>
        <xdr:cNvPr id="72" name="TextBox 71">
          <a:extLst>
            <a:ext uri="{FF2B5EF4-FFF2-40B4-BE49-F238E27FC236}">
              <a16:creationId xmlns:a16="http://schemas.microsoft.com/office/drawing/2014/main" id="{0BA1CC8F-CFE2-F800-B8D9-9AB4E22DAB42}"/>
            </a:ext>
          </a:extLst>
        </xdr:cNvPr>
        <xdr:cNvSpPr txBox="1"/>
      </xdr:nvSpPr>
      <xdr:spPr>
        <a:xfrm>
          <a:off x="9944100" y="3705225"/>
          <a:ext cx="1628775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CCC6B7C-B22C-4E3B-A449-941F2B7DFA95}" type="TxLink">
            <a:rPr lang="en-US" sz="1200" b="1" i="1" u="none" strike="noStrike">
              <a:solidFill>
                <a:schemeClr val="tx2">
                  <a:lumMod val="75000"/>
                </a:schemeClr>
              </a:solidFill>
              <a:latin typeface="Calibri"/>
              <a:ea typeface="Calibri"/>
              <a:cs typeface="Calibri"/>
            </a:rPr>
            <a:pPr algn="ctr"/>
            <a:t>Well-Utilized</a:t>
          </a:fld>
          <a:endParaRPr lang="en-US" sz="1800" b="1" i="1">
            <a:solidFill>
              <a:schemeClr val="tx2">
                <a:lumMod val="75000"/>
              </a:schemeClr>
            </a:solidFill>
          </a:endParaRPr>
        </a:p>
      </xdr:txBody>
    </xdr:sp>
    <xdr:clientData/>
  </xdr:twoCellAnchor>
  <xdr:twoCellAnchor>
    <xdr:from>
      <xdr:col>17</xdr:col>
      <xdr:colOff>590550</xdr:colOff>
      <xdr:row>12</xdr:row>
      <xdr:rowOff>95250</xdr:rowOff>
    </xdr:from>
    <xdr:to>
      <xdr:col>20</xdr:col>
      <xdr:colOff>390525</xdr:colOff>
      <xdr:row>14</xdr:row>
      <xdr:rowOff>38100</xdr:rowOff>
    </xdr:to>
    <xdr:sp macro="" textlink="'Analysis 1'!AO5">
      <xdr:nvSpPr>
        <xdr:cNvPr id="73" name="TextBox 72">
          <a:extLst>
            <a:ext uri="{FF2B5EF4-FFF2-40B4-BE49-F238E27FC236}">
              <a16:creationId xmlns:a16="http://schemas.microsoft.com/office/drawing/2014/main" id="{45F7B85D-DBC4-EFA5-D055-3C6FC7B611C4}"/>
            </a:ext>
          </a:extLst>
        </xdr:cNvPr>
        <xdr:cNvSpPr txBox="1"/>
      </xdr:nvSpPr>
      <xdr:spPr>
        <a:xfrm>
          <a:off x="10953750" y="2381250"/>
          <a:ext cx="1628775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BF0F5A5A-4E8B-44F3-9573-95BB7E6EBE72}" type="TxLink">
            <a:rPr lang="en-US" sz="1100" b="1" i="1" u="none" strike="noStrike">
              <a:solidFill>
                <a:schemeClr val="bg1">
                  <a:lumMod val="75000"/>
                </a:schemeClr>
              </a:solidFill>
              <a:latin typeface="Calibri"/>
              <a:ea typeface="Calibri"/>
              <a:cs typeface="Calibri"/>
            </a:rPr>
            <a:pPr marL="0" indent="0" algn="ctr"/>
            <a:t>20 Total Buses</a:t>
          </a:fld>
          <a:endParaRPr lang="en-US" sz="1100" b="1" i="1" u="none" strike="noStrike">
            <a:solidFill>
              <a:schemeClr val="bg1">
                <a:lumMod val="7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14</xdr:col>
      <xdr:colOff>447675</xdr:colOff>
      <xdr:row>12</xdr:row>
      <xdr:rowOff>104775</xdr:rowOff>
    </xdr:from>
    <xdr:to>
      <xdr:col>17</xdr:col>
      <xdr:colOff>247650</xdr:colOff>
      <xdr:row>14</xdr:row>
      <xdr:rowOff>47625</xdr:rowOff>
    </xdr:to>
    <xdr:sp macro="" textlink="'Analysis 1'!AO6">
      <xdr:nvSpPr>
        <xdr:cNvPr id="74" name="TextBox 73">
          <a:extLst>
            <a:ext uri="{FF2B5EF4-FFF2-40B4-BE49-F238E27FC236}">
              <a16:creationId xmlns:a16="http://schemas.microsoft.com/office/drawing/2014/main" id="{ACB81637-3C16-8BC3-201E-4D5261F6F420}"/>
            </a:ext>
          </a:extLst>
        </xdr:cNvPr>
        <xdr:cNvSpPr txBox="1"/>
      </xdr:nvSpPr>
      <xdr:spPr>
        <a:xfrm>
          <a:off x="8982075" y="2390775"/>
          <a:ext cx="1628775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1B47218E-0301-4732-9C5B-D33CADD58772}" type="TxLink">
            <a:rPr lang="en-US" sz="1100" b="1" i="1" u="none" strike="noStrike">
              <a:solidFill>
                <a:schemeClr val="bg1">
                  <a:lumMod val="75000"/>
                </a:schemeClr>
              </a:solidFill>
              <a:latin typeface="Calibri"/>
              <a:ea typeface="Calibri"/>
              <a:cs typeface="Calibri"/>
            </a:rPr>
            <a:pPr algn="ctr"/>
            <a:t>22 Total Buses</a:t>
          </a:fld>
          <a:endParaRPr lang="en-US" sz="1800" b="1" i="1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16</xdr:col>
      <xdr:colOff>200025</xdr:colOff>
      <xdr:row>20</xdr:row>
      <xdr:rowOff>114300</xdr:rowOff>
    </xdr:from>
    <xdr:to>
      <xdr:col>19</xdr:col>
      <xdr:colOff>0</xdr:colOff>
      <xdr:row>22</xdr:row>
      <xdr:rowOff>57150</xdr:rowOff>
    </xdr:to>
    <xdr:sp macro="" textlink="'Analysis 1'!AO7">
      <xdr:nvSpPr>
        <xdr:cNvPr id="75" name="TextBox 74">
          <a:extLst>
            <a:ext uri="{FF2B5EF4-FFF2-40B4-BE49-F238E27FC236}">
              <a16:creationId xmlns:a16="http://schemas.microsoft.com/office/drawing/2014/main" id="{FBF9A2D5-B10A-AA31-D6D5-D477552E767C}"/>
            </a:ext>
          </a:extLst>
        </xdr:cNvPr>
        <xdr:cNvSpPr txBox="1"/>
      </xdr:nvSpPr>
      <xdr:spPr>
        <a:xfrm>
          <a:off x="9953625" y="3924300"/>
          <a:ext cx="1628775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38A0811B-7E46-4B42-9FDF-29AF4FEB95A4}" type="TxLink">
            <a:rPr lang="en-US" sz="1100" b="1" i="1" u="none" strike="noStrike">
              <a:solidFill>
                <a:schemeClr val="bg1">
                  <a:lumMod val="75000"/>
                </a:schemeClr>
              </a:solidFill>
              <a:latin typeface="Calibri"/>
              <a:ea typeface="Calibri"/>
              <a:cs typeface="Calibri"/>
            </a:rPr>
            <a:pPr marL="0" indent="0" algn="ctr"/>
            <a:t>38 Total Buses</a:t>
          </a:fld>
          <a:endParaRPr lang="en-US" sz="1100" b="1" i="1" u="none" strike="noStrike">
            <a:solidFill>
              <a:schemeClr val="bg1">
                <a:lumMod val="7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14</xdr:col>
      <xdr:colOff>533400</xdr:colOff>
      <xdr:row>3</xdr:row>
      <xdr:rowOff>38100</xdr:rowOff>
    </xdr:from>
    <xdr:to>
      <xdr:col>17</xdr:col>
      <xdr:colOff>447676</xdr:colOff>
      <xdr:row>4</xdr:row>
      <xdr:rowOff>171450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2CF7A54F-4BE6-7563-4014-51EA51692F21}"/>
            </a:ext>
          </a:extLst>
        </xdr:cNvPr>
        <xdr:cNvSpPr txBox="1"/>
      </xdr:nvSpPr>
      <xdr:spPr>
        <a:xfrm>
          <a:off x="9067800" y="609600"/>
          <a:ext cx="1743076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>
              <a:solidFill>
                <a:schemeClr val="bg2">
                  <a:lumMod val="75000"/>
                </a:schemeClr>
              </a:solidFill>
            </a:rPr>
            <a:t>Bus Utilization Rate</a:t>
          </a:r>
        </a:p>
      </xdr:txBody>
    </xdr:sp>
    <xdr:clientData/>
  </xdr:twoCellAnchor>
  <xdr:twoCellAnchor>
    <xdr:from>
      <xdr:col>14</xdr:col>
      <xdr:colOff>552450</xdr:colOff>
      <xdr:row>3</xdr:row>
      <xdr:rowOff>142875</xdr:rowOff>
    </xdr:from>
    <xdr:to>
      <xdr:col>15</xdr:col>
      <xdr:colOff>47625</xdr:colOff>
      <xdr:row>4</xdr:row>
      <xdr:rowOff>57150</xdr:rowOff>
    </xdr:to>
    <xdr:sp macro="" textlink="">
      <xdr:nvSpPr>
        <xdr:cNvPr id="77" name="Oval 76">
          <a:extLst>
            <a:ext uri="{FF2B5EF4-FFF2-40B4-BE49-F238E27FC236}">
              <a16:creationId xmlns:a16="http://schemas.microsoft.com/office/drawing/2014/main" id="{715D5DF8-D695-7B09-D328-6AC398B349CA}"/>
            </a:ext>
          </a:extLst>
        </xdr:cNvPr>
        <xdr:cNvSpPr/>
      </xdr:nvSpPr>
      <xdr:spPr>
        <a:xfrm>
          <a:off x="9086850" y="714375"/>
          <a:ext cx="104775" cy="104775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304799</xdr:colOff>
      <xdr:row>22</xdr:row>
      <xdr:rowOff>97156</xdr:rowOff>
    </xdr:from>
    <xdr:to>
      <xdr:col>20</xdr:col>
      <xdr:colOff>295275</xdr:colOff>
      <xdr:row>22</xdr:row>
      <xdr:rowOff>161925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B5D8C267-378F-51A2-9A32-C47BFA849909}"/>
            </a:ext>
          </a:extLst>
        </xdr:cNvPr>
        <xdr:cNvSpPr/>
      </xdr:nvSpPr>
      <xdr:spPr>
        <a:xfrm>
          <a:off x="8839199" y="4288156"/>
          <a:ext cx="3648076" cy="64769"/>
        </a:xfrm>
        <a:prstGeom prst="rect">
          <a:avLst/>
        </a:prstGeom>
        <a:gradFill>
          <a:gsLst>
            <a:gs pos="1000">
              <a:schemeClr val="tx1"/>
            </a:gs>
            <a:gs pos="50000">
              <a:srgbClr val="595959"/>
            </a:gs>
            <a:gs pos="100000">
              <a:schemeClr val="tx1"/>
            </a:gs>
          </a:gsLst>
          <a:lin ang="0" scaled="0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533399</xdr:colOff>
      <xdr:row>22</xdr:row>
      <xdr:rowOff>161925</xdr:rowOff>
    </xdr:from>
    <xdr:to>
      <xdr:col>19</xdr:col>
      <xdr:colOff>209550</xdr:colOff>
      <xdr:row>24</xdr:row>
      <xdr:rowOff>104775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5A0DD7B-279C-39D0-2B74-D07A3145A4AD}"/>
            </a:ext>
          </a:extLst>
        </xdr:cNvPr>
        <xdr:cNvSpPr txBox="1"/>
      </xdr:nvSpPr>
      <xdr:spPr>
        <a:xfrm>
          <a:off x="9067799" y="4352925"/>
          <a:ext cx="2724151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>
              <a:solidFill>
                <a:schemeClr val="bg2">
                  <a:lumMod val="75000"/>
                </a:schemeClr>
              </a:solidFill>
            </a:rPr>
            <a:t>Total Riders Based on Moment</a:t>
          </a:r>
          <a:r>
            <a:rPr lang="en-US" sz="1200" b="1" baseline="0">
              <a:solidFill>
                <a:schemeClr val="bg2">
                  <a:lumMod val="75000"/>
                </a:schemeClr>
              </a:solidFill>
            </a:rPr>
            <a:t> of Trip</a:t>
          </a:r>
          <a:endParaRPr lang="en-US" sz="1200" b="1">
            <a:solidFill>
              <a:schemeClr val="bg2">
                <a:lumMod val="75000"/>
              </a:schemeClr>
            </a:solidFill>
          </a:endParaRPr>
        </a:p>
      </xdr:txBody>
    </xdr:sp>
    <xdr:clientData/>
  </xdr:twoCellAnchor>
  <xdr:twoCellAnchor>
    <xdr:from>
      <xdr:col>14</xdr:col>
      <xdr:colOff>495300</xdr:colOff>
      <xdr:row>23</xdr:row>
      <xdr:rowOff>95250</xdr:rowOff>
    </xdr:from>
    <xdr:to>
      <xdr:col>14</xdr:col>
      <xdr:colOff>600075</xdr:colOff>
      <xdr:row>24</xdr:row>
      <xdr:rowOff>9525</xdr:rowOff>
    </xdr:to>
    <xdr:sp macro="" textlink="">
      <xdr:nvSpPr>
        <xdr:cNvPr id="80" name="Oval 79">
          <a:extLst>
            <a:ext uri="{FF2B5EF4-FFF2-40B4-BE49-F238E27FC236}">
              <a16:creationId xmlns:a16="http://schemas.microsoft.com/office/drawing/2014/main" id="{65664A36-3B1E-8A20-909D-B6BE3416C9D5}"/>
            </a:ext>
          </a:extLst>
        </xdr:cNvPr>
        <xdr:cNvSpPr/>
      </xdr:nvSpPr>
      <xdr:spPr>
        <a:xfrm>
          <a:off x="9029700" y="4476750"/>
          <a:ext cx="104775" cy="104775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333375</xdr:colOff>
      <xdr:row>25</xdr:row>
      <xdr:rowOff>28575</xdr:rowOff>
    </xdr:from>
    <xdr:to>
      <xdr:col>15</xdr:col>
      <xdr:colOff>180975</xdr:colOff>
      <xdr:row>27</xdr:row>
      <xdr:rowOff>104775</xdr:rowOff>
    </xdr:to>
    <xdr:sp macro="" textlink="">
      <xdr:nvSpPr>
        <xdr:cNvPr id="81" name="Rectangle: Rounded Corners 80">
          <a:extLst>
            <a:ext uri="{FF2B5EF4-FFF2-40B4-BE49-F238E27FC236}">
              <a16:creationId xmlns:a16="http://schemas.microsoft.com/office/drawing/2014/main" id="{FAEEB056-E55F-C1EA-0D60-9B05555B0883}"/>
            </a:ext>
          </a:extLst>
        </xdr:cNvPr>
        <xdr:cNvSpPr/>
      </xdr:nvSpPr>
      <xdr:spPr>
        <a:xfrm>
          <a:off x="8867775" y="4791075"/>
          <a:ext cx="457200" cy="457200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333375</xdr:colOff>
      <xdr:row>28</xdr:row>
      <xdr:rowOff>171450</xdr:rowOff>
    </xdr:from>
    <xdr:to>
      <xdr:col>15</xdr:col>
      <xdr:colOff>180975</xdr:colOff>
      <xdr:row>31</xdr:row>
      <xdr:rowOff>57150</xdr:rowOff>
    </xdr:to>
    <xdr:sp macro="" textlink="">
      <xdr:nvSpPr>
        <xdr:cNvPr id="82" name="Rectangle: Rounded Corners 81">
          <a:extLst>
            <a:ext uri="{FF2B5EF4-FFF2-40B4-BE49-F238E27FC236}">
              <a16:creationId xmlns:a16="http://schemas.microsoft.com/office/drawing/2014/main" id="{1B807078-FB49-5699-5951-C077A5977329}"/>
            </a:ext>
          </a:extLst>
        </xdr:cNvPr>
        <xdr:cNvSpPr/>
      </xdr:nvSpPr>
      <xdr:spPr>
        <a:xfrm>
          <a:off x="8867775" y="5505450"/>
          <a:ext cx="457200" cy="457200"/>
        </a:xfrm>
        <a:prstGeom prst="roundRect">
          <a:avLst/>
        </a:prstGeom>
        <a:solidFill>
          <a:schemeClr val="tx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14</xdr:col>
      <xdr:colOff>390525</xdr:colOff>
      <xdr:row>29</xdr:row>
      <xdr:rowOff>57152</xdr:rowOff>
    </xdr:from>
    <xdr:to>
      <xdr:col>15</xdr:col>
      <xdr:colOff>114299</xdr:colOff>
      <xdr:row>31</xdr:row>
      <xdr:rowOff>9526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93C66402-E496-B5EA-F0C8-6F2F6DCA5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24925" y="5581652"/>
          <a:ext cx="333374" cy="333374"/>
        </a:xfrm>
        <a:prstGeom prst="rect">
          <a:avLst/>
        </a:prstGeom>
      </xdr:spPr>
    </xdr:pic>
    <xdr:clientData/>
  </xdr:twoCellAnchor>
  <xdr:twoCellAnchor editAs="oneCell">
    <xdr:from>
      <xdr:col>14</xdr:col>
      <xdr:colOff>350023</xdr:colOff>
      <xdr:row>25</xdr:row>
      <xdr:rowOff>43411</xdr:rowOff>
    </xdr:from>
    <xdr:to>
      <xdr:col>15</xdr:col>
      <xdr:colOff>161924</xdr:colOff>
      <xdr:row>27</xdr:row>
      <xdr:rowOff>83912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A7C30507-36D5-D5D6-BC06-90CCF4451A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84423" y="4805911"/>
          <a:ext cx="421501" cy="421501"/>
        </a:xfrm>
        <a:prstGeom prst="rect">
          <a:avLst/>
        </a:prstGeom>
      </xdr:spPr>
    </xdr:pic>
    <xdr:clientData/>
  </xdr:twoCellAnchor>
  <xdr:twoCellAnchor>
    <xdr:from>
      <xdr:col>15</xdr:col>
      <xdr:colOff>123824</xdr:colOff>
      <xdr:row>24</xdr:row>
      <xdr:rowOff>38100</xdr:rowOff>
    </xdr:from>
    <xdr:to>
      <xdr:col>17</xdr:col>
      <xdr:colOff>476249</xdr:colOff>
      <xdr:row>25</xdr:row>
      <xdr:rowOff>171450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58189B77-0AC0-F791-1143-2ACDDCE650E3}"/>
            </a:ext>
          </a:extLst>
        </xdr:cNvPr>
        <xdr:cNvSpPr txBox="1"/>
      </xdr:nvSpPr>
      <xdr:spPr>
        <a:xfrm>
          <a:off x="9267824" y="4610100"/>
          <a:ext cx="1571625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>
              <a:solidFill>
                <a:schemeClr val="bg2">
                  <a:lumMod val="75000"/>
                </a:schemeClr>
              </a:solidFill>
            </a:rPr>
            <a:t>Total Riders by </a:t>
          </a:r>
          <a:r>
            <a:rPr lang="en-US" sz="1200" b="1">
              <a:solidFill>
                <a:schemeClr val="accent1">
                  <a:lumMod val="75000"/>
                </a:schemeClr>
              </a:solidFill>
            </a:rPr>
            <a:t>AM</a:t>
          </a:r>
        </a:p>
      </xdr:txBody>
    </xdr:sp>
    <xdr:clientData/>
  </xdr:twoCellAnchor>
  <xdr:twoCellAnchor>
    <xdr:from>
      <xdr:col>15</xdr:col>
      <xdr:colOff>209550</xdr:colOff>
      <xdr:row>28</xdr:row>
      <xdr:rowOff>19050</xdr:rowOff>
    </xdr:from>
    <xdr:to>
      <xdr:col>17</xdr:col>
      <xdr:colOff>390525</xdr:colOff>
      <xdr:row>29</xdr:row>
      <xdr:rowOff>152400</xdr:rowOff>
    </xdr:to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3FFE6E5C-FDCB-ED57-5367-13D8024B607C}"/>
            </a:ext>
          </a:extLst>
        </xdr:cNvPr>
        <xdr:cNvSpPr txBox="1"/>
      </xdr:nvSpPr>
      <xdr:spPr>
        <a:xfrm>
          <a:off x="9353550" y="5353050"/>
          <a:ext cx="1400175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>
              <a:solidFill>
                <a:schemeClr val="bg2">
                  <a:lumMod val="75000"/>
                </a:schemeClr>
              </a:solidFill>
            </a:rPr>
            <a:t>Total Riders by </a:t>
          </a:r>
          <a:r>
            <a:rPr lang="en-US" sz="1200" b="1">
              <a:solidFill>
                <a:schemeClr val="tx2">
                  <a:lumMod val="75000"/>
                </a:schemeClr>
              </a:solidFill>
            </a:rPr>
            <a:t>PM</a:t>
          </a:r>
        </a:p>
      </xdr:txBody>
    </xdr:sp>
    <xdr:clientData/>
  </xdr:twoCellAnchor>
  <xdr:twoCellAnchor>
    <xdr:from>
      <xdr:col>15</xdr:col>
      <xdr:colOff>219075</xdr:colOff>
      <xdr:row>25</xdr:row>
      <xdr:rowOff>66675</xdr:rowOff>
    </xdr:from>
    <xdr:to>
      <xdr:col>16</xdr:col>
      <xdr:colOff>476251</xdr:colOff>
      <xdr:row>27</xdr:row>
      <xdr:rowOff>9525</xdr:rowOff>
    </xdr:to>
    <xdr:sp macro="" textlink="'Analysis 1'!AU5">
      <xdr:nvSpPr>
        <xdr:cNvPr id="87" name="TextBox 86">
          <a:extLst>
            <a:ext uri="{FF2B5EF4-FFF2-40B4-BE49-F238E27FC236}">
              <a16:creationId xmlns:a16="http://schemas.microsoft.com/office/drawing/2014/main" id="{7ADC713C-736E-C459-E747-DF0197875C69}"/>
            </a:ext>
          </a:extLst>
        </xdr:cNvPr>
        <xdr:cNvSpPr txBox="1"/>
      </xdr:nvSpPr>
      <xdr:spPr>
        <a:xfrm>
          <a:off x="9363075" y="4829175"/>
          <a:ext cx="866776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0EE50920-4003-4321-9AA5-D9BD914BF082}" type="TxLink">
            <a:rPr lang="en-US" sz="1600" b="1" i="0" u="none" strike="noStrike">
              <a:solidFill>
                <a:schemeClr val="accent1">
                  <a:lumMod val="75000"/>
                </a:schemeClr>
              </a:solidFill>
              <a:latin typeface="Calibri"/>
              <a:ea typeface="Calibri"/>
              <a:cs typeface="Calibri"/>
            </a:rPr>
            <a:pPr algn="ctr"/>
            <a:t>35.39%</a:t>
          </a:fld>
          <a:endParaRPr lang="en-US" sz="18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15</xdr:col>
      <xdr:colOff>200025</xdr:colOff>
      <xdr:row>29</xdr:row>
      <xdr:rowOff>66675</xdr:rowOff>
    </xdr:from>
    <xdr:to>
      <xdr:col>16</xdr:col>
      <xdr:colOff>485775</xdr:colOff>
      <xdr:row>31</xdr:row>
      <xdr:rowOff>9525</xdr:rowOff>
    </xdr:to>
    <xdr:sp macro="" textlink="'Analysis 1'!AU6">
      <xdr:nvSpPr>
        <xdr:cNvPr id="88" name="TextBox 87">
          <a:extLst>
            <a:ext uri="{FF2B5EF4-FFF2-40B4-BE49-F238E27FC236}">
              <a16:creationId xmlns:a16="http://schemas.microsoft.com/office/drawing/2014/main" id="{157C5AC4-7FA1-386D-0276-3DE990C7B5F2}"/>
            </a:ext>
          </a:extLst>
        </xdr:cNvPr>
        <xdr:cNvSpPr txBox="1"/>
      </xdr:nvSpPr>
      <xdr:spPr>
        <a:xfrm>
          <a:off x="9344025" y="5591175"/>
          <a:ext cx="895350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DFB7876-FC60-4A37-96BD-153A60E558A9}" type="TxLink">
            <a:rPr lang="en-US" sz="1600" b="1" i="0" u="none" strike="noStrike">
              <a:solidFill>
                <a:schemeClr val="tx2">
                  <a:lumMod val="75000"/>
                </a:schemeClr>
              </a:solidFill>
              <a:latin typeface="Calibri"/>
              <a:ea typeface="Calibri"/>
              <a:cs typeface="Calibri"/>
            </a:rPr>
            <a:pPr algn="ctr"/>
            <a:t>64.61%</a:t>
          </a:fld>
          <a:endParaRPr lang="en-US" sz="1800" b="1">
            <a:solidFill>
              <a:schemeClr val="tx2">
                <a:lumMod val="75000"/>
              </a:schemeClr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590550</xdr:colOff>
      <xdr:row>0</xdr:row>
      <xdr:rowOff>0</xdr:rowOff>
    </xdr:from>
    <xdr:to>
      <xdr:col>16</xdr:col>
      <xdr:colOff>76200</xdr:colOff>
      <xdr:row>33</xdr:row>
      <xdr:rowOff>123824</xdr:rowOff>
    </xdr:to>
    <xdr:sp macro="" textlink="">
      <xdr:nvSpPr>
        <xdr:cNvPr id="29" name="Arrow: Pentagon 28">
          <a:extLst>
            <a:ext uri="{FF2B5EF4-FFF2-40B4-BE49-F238E27FC236}">
              <a16:creationId xmlns:a16="http://schemas.microsoft.com/office/drawing/2014/main" id="{CA85D9A2-FCC3-458F-A868-2E0A3D495873}"/>
            </a:ext>
          </a:extLst>
        </xdr:cNvPr>
        <xdr:cNvSpPr/>
      </xdr:nvSpPr>
      <xdr:spPr>
        <a:xfrm flipH="1">
          <a:off x="2419350" y="0"/>
          <a:ext cx="7410450" cy="6410324"/>
        </a:xfrm>
        <a:prstGeom prst="homePlate">
          <a:avLst>
            <a:gd name="adj" fmla="val 32214"/>
          </a:avLst>
        </a:prstGeom>
        <a:gradFill flip="none" rotWithShape="1">
          <a:gsLst>
            <a:gs pos="27000">
              <a:srgbClr val="2A2A2A"/>
            </a:gs>
            <a:gs pos="51000">
              <a:srgbClr val="595959"/>
            </a:gs>
            <a:gs pos="84000">
              <a:srgbClr val="0D0D0D"/>
            </a:gs>
            <a:gs pos="0">
              <a:schemeClr val="tx1"/>
            </a:gs>
          </a:gsLst>
          <a:lin ang="0" scaled="0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333375</xdr:colOff>
      <xdr:row>0</xdr:row>
      <xdr:rowOff>19050</xdr:rowOff>
    </xdr:from>
    <xdr:to>
      <xdr:col>17</xdr:col>
      <xdr:colOff>428625</xdr:colOff>
      <xdr:row>33</xdr:row>
      <xdr:rowOff>142874</xdr:rowOff>
    </xdr:to>
    <xdr:sp macro="" textlink="">
      <xdr:nvSpPr>
        <xdr:cNvPr id="30" name="Arrow: Pentagon 29">
          <a:extLst>
            <a:ext uri="{FF2B5EF4-FFF2-40B4-BE49-F238E27FC236}">
              <a16:creationId xmlns:a16="http://schemas.microsoft.com/office/drawing/2014/main" id="{A1658463-2A2B-437D-93C4-002B12570959}"/>
            </a:ext>
          </a:extLst>
        </xdr:cNvPr>
        <xdr:cNvSpPr/>
      </xdr:nvSpPr>
      <xdr:spPr>
        <a:xfrm flipH="1">
          <a:off x="3381375" y="19050"/>
          <a:ext cx="7410450" cy="6410324"/>
        </a:xfrm>
        <a:prstGeom prst="homePlate">
          <a:avLst>
            <a:gd name="adj" fmla="val 32214"/>
          </a:avLst>
        </a:prstGeom>
        <a:gradFill flip="none" rotWithShape="1">
          <a:gsLst>
            <a:gs pos="31000">
              <a:srgbClr val="2A2A2A"/>
            </a:gs>
            <a:gs pos="44000">
              <a:srgbClr val="595959"/>
            </a:gs>
            <a:gs pos="81000">
              <a:srgbClr val="0D0D0D"/>
            </a:gs>
            <a:gs pos="13000">
              <a:schemeClr val="tx1"/>
            </a:gs>
          </a:gsLst>
          <a:lin ang="0" scaled="0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485775</xdr:colOff>
      <xdr:row>0</xdr:row>
      <xdr:rowOff>47625</xdr:rowOff>
    </xdr:from>
    <xdr:to>
      <xdr:col>18</xdr:col>
      <xdr:colOff>581025</xdr:colOff>
      <xdr:row>33</xdr:row>
      <xdr:rowOff>171449</xdr:rowOff>
    </xdr:to>
    <xdr:sp macro="" textlink="">
      <xdr:nvSpPr>
        <xdr:cNvPr id="31" name="Arrow: Pentagon 30">
          <a:extLst>
            <a:ext uri="{FF2B5EF4-FFF2-40B4-BE49-F238E27FC236}">
              <a16:creationId xmlns:a16="http://schemas.microsoft.com/office/drawing/2014/main" id="{E77502F5-09A1-4623-AFB5-3641999FCED3}"/>
            </a:ext>
          </a:extLst>
        </xdr:cNvPr>
        <xdr:cNvSpPr/>
      </xdr:nvSpPr>
      <xdr:spPr>
        <a:xfrm flipH="1">
          <a:off x="4143375" y="47625"/>
          <a:ext cx="7410450" cy="6410324"/>
        </a:xfrm>
        <a:prstGeom prst="homePlate">
          <a:avLst>
            <a:gd name="adj" fmla="val 32214"/>
          </a:avLst>
        </a:prstGeom>
        <a:gradFill flip="none" rotWithShape="1">
          <a:gsLst>
            <a:gs pos="64000">
              <a:srgbClr val="2A2A2A"/>
            </a:gs>
            <a:gs pos="30000">
              <a:srgbClr val="595959"/>
            </a:gs>
            <a:gs pos="99000">
              <a:srgbClr val="0D0D0D"/>
            </a:gs>
            <a:gs pos="0">
              <a:schemeClr val="tx1"/>
            </a:gs>
          </a:gsLst>
          <a:lin ang="0" scaled="0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28575</xdr:colOff>
      <xdr:row>0</xdr:row>
      <xdr:rowOff>38100</xdr:rowOff>
    </xdr:from>
    <xdr:to>
      <xdr:col>20</xdr:col>
      <xdr:colOff>123825</xdr:colOff>
      <xdr:row>33</xdr:row>
      <xdr:rowOff>161924</xdr:rowOff>
    </xdr:to>
    <xdr:sp macro="" textlink="">
      <xdr:nvSpPr>
        <xdr:cNvPr id="32" name="Arrow: Pentagon 31">
          <a:extLst>
            <a:ext uri="{FF2B5EF4-FFF2-40B4-BE49-F238E27FC236}">
              <a16:creationId xmlns:a16="http://schemas.microsoft.com/office/drawing/2014/main" id="{73099900-3F2D-4394-BBC2-FD9D6A9D70BF}"/>
            </a:ext>
          </a:extLst>
        </xdr:cNvPr>
        <xdr:cNvSpPr/>
      </xdr:nvSpPr>
      <xdr:spPr>
        <a:xfrm flipH="1">
          <a:off x="4905375" y="38100"/>
          <a:ext cx="7410450" cy="6410324"/>
        </a:xfrm>
        <a:prstGeom prst="homePlate">
          <a:avLst>
            <a:gd name="adj" fmla="val 32214"/>
          </a:avLst>
        </a:prstGeom>
        <a:gradFill flip="none" rotWithShape="1">
          <a:gsLst>
            <a:gs pos="32000">
              <a:srgbClr val="2A2A2A"/>
            </a:gs>
            <a:gs pos="48000">
              <a:srgbClr val="595959"/>
            </a:gs>
            <a:gs pos="86000">
              <a:srgbClr val="0D0D0D"/>
            </a:gs>
            <a:gs pos="0">
              <a:schemeClr val="tx1"/>
            </a:gs>
          </a:gsLst>
          <a:lin ang="0" scaled="0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180975</xdr:colOff>
      <xdr:row>0</xdr:row>
      <xdr:rowOff>28575</xdr:rowOff>
    </xdr:from>
    <xdr:to>
      <xdr:col>21</xdr:col>
      <xdr:colOff>276225</xdr:colOff>
      <xdr:row>33</xdr:row>
      <xdr:rowOff>152399</xdr:rowOff>
    </xdr:to>
    <xdr:sp macro="" textlink="">
      <xdr:nvSpPr>
        <xdr:cNvPr id="33" name="Arrow: Pentagon 32">
          <a:extLst>
            <a:ext uri="{FF2B5EF4-FFF2-40B4-BE49-F238E27FC236}">
              <a16:creationId xmlns:a16="http://schemas.microsoft.com/office/drawing/2014/main" id="{86E28517-F310-4708-886B-B5CEEC485D79}"/>
            </a:ext>
          </a:extLst>
        </xdr:cNvPr>
        <xdr:cNvSpPr/>
      </xdr:nvSpPr>
      <xdr:spPr>
        <a:xfrm flipH="1">
          <a:off x="5667375" y="28575"/>
          <a:ext cx="7410450" cy="6410324"/>
        </a:xfrm>
        <a:prstGeom prst="homePlate">
          <a:avLst>
            <a:gd name="adj" fmla="val 32214"/>
          </a:avLst>
        </a:prstGeom>
        <a:gradFill flip="none" rotWithShape="1">
          <a:gsLst>
            <a:gs pos="39000">
              <a:srgbClr val="2A2A2A"/>
            </a:gs>
            <a:gs pos="71000">
              <a:srgbClr val="595959"/>
            </a:gs>
            <a:gs pos="93000">
              <a:srgbClr val="0D0D0D"/>
            </a:gs>
            <a:gs pos="0">
              <a:schemeClr val="tx1"/>
            </a:gs>
          </a:gsLst>
          <a:lin ang="0" scaled="0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371474</xdr:colOff>
      <xdr:row>2</xdr:row>
      <xdr:rowOff>142874</xdr:rowOff>
    </xdr:from>
    <xdr:to>
      <xdr:col>15</xdr:col>
      <xdr:colOff>0</xdr:colOff>
      <xdr:row>7</xdr:row>
      <xdr:rowOff>123062</xdr:rowOff>
    </xdr:to>
    <xdr:sp macro="" textlink="">
      <xdr:nvSpPr>
        <xdr:cNvPr id="34" name="Rectangle: Rounded Corners 33">
          <a:extLst>
            <a:ext uri="{FF2B5EF4-FFF2-40B4-BE49-F238E27FC236}">
              <a16:creationId xmlns:a16="http://schemas.microsoft.com/office/drawing/2014/main" id="{78FFD7A0-36FD-4CAD-9A40-0C69A41F1D2B}"/>
            </a:ext>
          </a:extLst>
        </xdr:cNvPr>
        <xdr:cNvSpPr/>
      </xdr:nvSpPr>
      <xdr:spPr>
        <a:xfrm>
          <a:off x="981074" y="523874"/>
          <a:ext cx="8162926" cy="932688"/>
        </a:xfrm>
        <a:prstGeom prst="roundRect">
          <a:avLst>
            <a:gd name="adj" fmla="val 10539"/>
          </a:avLst>
        </a:prstGeom>
        <a:solidFill>
          <a:schemeClr val="tx1">
            <a:lumMod val="95000"/>
            <a:lumOff val="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200"/>
        </a:p>
      </xdr:txBody>
    </xdr:sp>
    <xdr:clientData/>
  </xdr:twoCellAnchor>
  <xdr:twoCellAnchor>
    <xdr:from>
      <xdr:col>0</xdr:col>
      <xdr:colOff>238125</xdr:colOff>
      <xdr:row>1</xdr:row>
      <xdr:rowOff>95250</xdr:rowOff>
    </xdr:from>
    <xdr:to>
      <xdr:col>1</xdr:col>
      <xdr:colOff>190500</xdr:colOff>
      <xdr:row>33</xdr:row>
      <xdr:rowOff>9524</xdr:rowOff>
    </xdr:to>
    <xdr:grpSp>
      <xdr:nvGrpSpPr>
        <xdr:cNvPr id="35" name="Group 34">
          <a:extLst>
            <a:ext uri="{FF2B5EF4-FFF2-40B4-BE49-F238E27FC236}">
              <a16:creationId xmlns:a16="http://schemas.microsoft.com/office/drawing/2014/main" id="{80D451EB-1D2A-4EA7-9AB3-449B48903909}"/>
            </a:ext>
          </a:extLst>
        </xdr:cNvPr>
        <xdr:cNvGrpSpPr/>
      </xdr:nvGrpSpPr>
      <xdr:grpSpPr>
        <a:xfrm>
          <a:off x="238125" y="285750"/>
          <a:ext cx="561975" cy="6010274"/>
          <a:chOff x="95250" y="276226"/>
          <a:chExt cx="561975" cy="6010274"/>
        </a:xfrm>
      </xdr:grpSpPr>
      <xdr:sp macro="" textlink="">
        <xdr:nvSpPr>
          <xdr:cNvPr id="36" name="Rectangle: Rounded Corners 35">
            <a:extLst>
              <a:ext uri="{FF2B5EF4-FFF2-40B4-BE49-F238E27FC236}">
                <a16:creationId xmlns:a16="http://schemas.microsoft.com/office/drawing/2014/main" id="{C695AA56-C030-AB36-C7E6-5EB167CBC568}"/>
              </a:ext>
            </a:extLst>
          </xdr:cNvPr>
          <xdr:cNvSpPr/>
        </xdr:nvSpPr>
        <xdr:spPr>
          <a:xfrm>
            <a:off x="133350" y="276226"/>
            <a:ext cx="523875" cy="6010274"/>
          </a:xfrm>
          <a:prstGeom prst="roundRect">
            <a:avLst>
              <a:gd name="adj" fmla="val 10539"/>
            </a:avLst>
          </a:prstGeom>
          <a:solidFill>
            <a:schemeClr val="bg2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7" name="Rectangle: Rounded Corners 36">
            <a:extLst>
              <a:ext uri="{FF2B5EF4-FFF2-40B4-BE49-F238E27FC236}">
                <a16:creationId xmlns:a16="http://schemas.microsoft.com/office/drawing/2014/main" id="{643602A1-0F8E-A0CB-2743-38C4AF714CB4}"/>
              </a:ext>
            </a:extLst>
          </xdr:cNvPr>
          <xdr:cNvSpPr/>
        </xdr:nvSpPr>
        <xdr:spPr>
          <a:xfrm>
            <a:off x="95250" y="276226"/>
            <a:ext cx="523875" cy="6010274"/>
          </a:xfrm>
          <a:prstGeom prst="roundRect">
            <a:avLst>
              <a:gd name="adj" fmla="val 10539"/>
            </a:avLst>
          </a:prstGeom>
          <a:solidFill>
            <a:schemeClr val="tx1">
              <a:lumMod val="75000"/>
              <a:lumOff val="2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371475</xdr:colOff>
      <xdr:row>2</xdr:row>
      <xdr:rowOff>180974</xdr:rowOff>
    </xdr:from>
    <xdr:to>
      <xdr:col>4</xdr:col>
      <xdr:colOff>47625</xdr:colOff>
      <xdr:row>4</xdr:row>
      <xdr:rowOff>123824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13BA2B00-36B8-4119-A839-121F1EBD01AA}"/>
            </a:ext>
          </a:extLst>
        </xdr:cNvPr>
        <xdr:cNvSpPr txBox="1"/>
      </xdr:nvSpPr>
      <xdr:spPr>
        <a:xfrm>
          <a:off x="981075" y="561974"/>
          <a:ext cx="1504950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>
              <a:solidFill>
                <a:schemeClr val="bg2">
                  <a:lumMod val="75000"/>
                </a:schemeClr>
              </a:solidFill>
            </a:rPr>
            <a:t>Total Passengers</a:t>
          </a:r>
        </a:p>
      </xdr:txBody>
    </xdr:sp>
    <xdr:clientData/>
  </xdr:twoCellAnchor>
  <xdr:twoCellAnchor>
    <xdr:from>
      <xdr:col>4</xdr:col>
      <xdr:colOff>301625</xdr:colOff>
      <xdr:row>2</xdr:row>
      <xdr:rowOff>180974</xdr:rowOff>
    </xdr:from>
    <xdr:to>
      <xdr:col>7</xdr:col>
      <xdr:colOff>463550</xdr:colOff>
      <xdr:row>4</xdr:row>
      <xdr:rowOff>123824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A7C0A599-DF61-4D80-9A52-C3908210730D}"/>
            </a:ext>
          </a:extLst>
        </xdr:cNvPr>
        <xdr:cNvSpPr txBox="1"/>
      </xdr:nvSpPr>
      <xdr:spPr>
        <a:xfrm>
          <a:off x="2740025" y="561974"/>
          <a:ext cx="1990725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>
              <a:solidFill>
                <a:schemeClr val="bg2">
                  <a:lumMod val="75000"/>
                </a:schemeClr>
              </a:solidFill>
            </a:rPr>
            <a:t>Average Riders Per Trip</a:t>
          </a:r>
        </a:p>
      </xdr:txBody>
    </xdr:sp>
    <xdr:clientData/>
  </xdr:twoCellAnchor>
  <xdr:twoCellAnchor>
    <xdr:from>
      <xdr:col>8</xdr:col>
      <xdr:colOff>107950</xdr:colOff>
      <xdr:row>2</xdr:row>
      <xdr:rowOff>180974</xdr:rowOff>
    </xdr:from>
    <xdr:to>
      <xdr:col>10</xdr:col>
      <xdr:colOff>422275</xdr:colOff>
      <xdr:row>4</xdr:row>
      <xdr:rowOff>123824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DC6063C-1287-421D-9CBC-9366E257F641}"/>
            </a:ext>
          </a:extLst>
        </xdr:cNvPr>
        <xdr:cNvSpPr txBox="1"/>
      </xdr:nvSpPr>
      <xdr:spPr>
        <a:xfrm>
          <a:off x="4984750" y="561974"/>
          <a:ext cx="1533525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>
              <a:solidFill>
                <a:schemeClr val="bg2">
                  <a:lumMod val="75000"/>
                </a:schemeClr>
              </a:solidFill>
            </a:rPr>
            <a:t>Busiest Route</a:t>
          </a:r>
        </a:p>
      </xdr:txBody>
    </xdr:sp>
    <xdr:clientData/>
  </xdr:twoCellAnchor>
  <xdr:twoCellAnchor>
    <xdr:from>
      <xdr:col>11</xdr:col>
      <xdr:colOff>66675</xdr:colOff>
      <xdr:row>2</xdr:row>
      <xdr:rowOff>180974</xdr:rowOff>
    </xdr:from>
    <xdr:to>
      <xdr:col>13</xdr:col>
      <xdr:colOff>447675</xdr:colOff>
      <xdr:row>4</xdr:row>
      <xdr:rowOff>123824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5F190B00-49CB-485F-95C0-5E8EFADDB524}"/>
            </a:ext>
          </a:extLst>
        </xdr:cNvPr>
        <xdr:cNvSpPr txBox="1"/>
      </xdr:nvSpPr>
      <xdr:spPr>
        <a:xfrm>
          <a:off x="6772275" y="561974"/>
          <a:ext cx="1600200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>
              <a:solidFill>
                <a:schemeClr val="bg2">
                  <a:lumMod val="75000"/>
                </a:schemeClr>
              </a:solidFill>
            </a:rPr>
            <a:t>Least Busy Route</a:t>
          </a:r>
        </a:p>
      </xdr:txBody>
    </xdr:sp>
    <xdr:clientData/>
  </xdr:twoCellAnchor>
  <xdr:twoCellAnchor>
    <xdr:from>
      <xdr:col>1</xdr:col>
      <xdr:colOff>371475</xdr:colOff>
      <xdr:row>5</xdr:row>
      <xdr:rowOff>38099</xdr:rowOff>
    </xdr:from>
    <xdr:to>
      <xdr:col>4</xdr:col>
      <xdr:colOff>47625</xdr:colOff>
      <xdr:row>6</xdr:row>
      <xdr:rowOff>171449</xdr:rowOff>
    </xdr:to>
    <xdr:sp macro="" textlink="'Analysis 1'!A2">
      <xdr:nvSpPr>
        <xdr:cNvPr id="43" name="TextBox 42">
          <a:extLst>
            <a:ext uri="{FF2B5EF4-FFF2-40B4-BE49-F238E27FC236}">
              <a16:creationId xmlns:a16="http://schemas.microsoft.com/office/drawing/2014/main" id="{F2B7DB03-C35A-41FB-8E38-F51E34E20517}"/>
            </a:ext>
          </a:extLst>
        </xdr:cNvPr>
        <xdr:cNvSpPr txBox="1"/>
      </xdr:nvSpPr>
      <xdr:spPr>
        <a:xfrm>
          <a:off x="981075" y="990599"/>
          <a:ext cx="1504950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FE8B59B-6BC9-4066-A4BE-0AFC6D332B82}" type="TxLink">
            <a:rPr lang="en-US" sz="2000" b="1" i="0" u="none" strike="noStrike">
              <a:solidFill>
                <a:schemeClr val="bg1">
                  <a:lumMod val="95000"/>
                </a:schemeClr>
              </a:solidFill>
              <a:latin typeface="Calibri"/>
              <a:ea typeface="Calibri"/>
              <a:cs typeface="Calibri"/>
            </a:rPr>
            <a:pPr algn="ctr"/>
            <a:t>6,587</a:t>
          </a:fld>
          <a:endParaRPr lang="en-US" sz="2400" b="1">
            <a:solidFill>
              <a:schemeClr val="bg1">
                <a:lumMod val="95000"/>
              </a:schemeClr>
            </a:solidFill>
          </a:endParaRPr>
        </a:p>
      </xdr:txBody>
    </xdr:sp>
    <xdr:clientData/>
  </xdr:twoCellAnchor>
  <xdr:twoCellAnchor>
    <xdr:from>
      <xdr:col>4</xdr:col>
      <xdr:colOff>542925</xdr:colOff>
      <xdr:row>5</xdr:row>
      <xdr:rowOff>47624</xdr:rowOff>
    </xdr:from>
    <xdr:to>
      <xdr:col>7</xdr:col>
      <xdr:colOff>219075</xdr:colOff>
      <xdr:row>6</xdr:row>
      <xdr:rowOff>180974</xdr:rowOff>
    </xdr:to>
    <xdr:sp macro="" textlink="'Analysis 1'!B2">
      <xdr:nvSpPr>
        <xdr:cNvPr id="44" name="TextBox 43">
          <a:extLst>
            <a:ext uri="{FF2B5EF4-FFF2-40B4-BE49-F238E27FC236}">
              <a16:creationId xmlns:a16="http://schemas.microsoft.com/office/drawing/2014/main" id="{17BF8F24-6E5C-4DD9-80CA-1013713B256C}"/>
            </a:ext>
          </a:extLst>
        </xdr:cNvPr>
        <xdr:cNvSpPr txBox="1"/>
      </xdr:nvSpPr>
      <xdr:spPr>
        <a:xfrm>
          <a:off x="2981325" y="1000124"/>
          <a:ext cx="1504950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DDAF2EC-F13B-4355-A57E-C5DFBBB3B976}" type="TxLink">
            <a:rPr lang="en-US" sz="1600" b="1" i="0" u="none" strike="noStrike">
              <a:solidFill>
                <a:schemeClr val="bg1">
                  <a:lumMod val="95000"/>
                </a:schemeClr>
              </a:solidFill>
              <a:latin typeface="Calibri"/>
              <a:ea typeface="Calibri"/>
              <a:cs typeface="Calibri"/>
            </a:rPr>
            <a:pPr algn="ctr"/>
            <a:t>33</a:t>
          </a:fld>
          <a:endParaRPr lang="en-US" sz="1800" b="1">
            <a:solidFill>
              <a:schemeClr val="bg1">
                <a:lumMod val="95000"/>
              </a:schemeClr>
            </a:solidFill>
          </a:endParaRPr>
        </a:p>
      </xdr:txBody>
    </xdr:sp>
    <xdr:clientData/>
  </xdr:twoCellAnchor>
  <xdr:twoCellAnchor>
    <xdr:from>
      <xdr:col>8</xdr:col>
      <xdr:colOff>9525</xdr:colOff>
      <xdr:row>5</xdr:row>
      <xdr:rowOff>47624</xdr:rowOff>
    </xdr:from>
    <xdr:to>
      <xdr:col>10</xdr:col>
      <xdr:colOff>419100</xdr:colOff>
      <xdr:row>6</xdr:row>
      <xdr:rowOff>180974</xdr:rowOff>
    </xdr:to>
    <xdr:sp macro="" textlink="'Analysis 1'!B7">
      <xdr:nvSpPr>
        <xdr:cNvPr id="45" name="TextBox 44">
          <a:extLst>
            <a:ext uri="{FF2B5EF4-FFF2-40B4-BE49-F238E27FC236}">
              <a16:creationId xmlns:a16="http://schemas.microsoft.com/office/drawing/2014/main" id="{5087B607-4CFA-4F16-81E5-D3F334DBCEEF}"/>
            </a:ext>
          </a:extLst>
        </xdr:cNvPr>
        <xdr:cNvSpPr txBox="1"/>
      </xdr:nvSpPr>
      <xdr:spPr>
        <a:xfrm>
          <a:off x="4886325" y="1000124"/>
          <a:ext cx="1628775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E71A7ED-1847-47F5-BC62-5CA34DF0F5B3}" type="TxLink">
            <a:rPr lang="en-US" sz="1400" b="1" i="0" u="none" strike="noStrike">
              <a:solidFill>
                <a:schemeClr val="bg1">
                  <a:lumMod val="95000"/>
                </a:schemeClr>
              </a:solidFill>
              <a:latin typeface="Calibri"/>
              <a:ea typeface="Calibri"/>
              <a:cs typeface="Calibri"/>
            </a:rPr>
            <a:pPr algn="ctr"/>
            <a:t>East-West Express</a:t>
          </a:fld>
          <a:endParaRPr lang="en-US" sz="1600" b="1">
            <a:solidFill>
              <a:schemeClr val="bg1">
                <a:lumMod val="95000"/>
              </a:schemeClr>
            </a:solidFill>
          </a:endParaRPr>
        </a:p>
      </xdr:txBody>
    </xdr:sp>
    <xdr:clientData/>
  </xdr:twoCellAnchor>
  <xdr:twoCellAnchor>
    <xdr:from>
      <xdr:col>11</xdr:col>
      <xdr:colOff>133350</xdr:colOff>
      <xdr:row>5</xdr:row>
      <xdr:rowOff>47624</xdr:rowOff>
    </xdr:from>
    <xdr:to>
      <xdr:col>13</xdr:col>
      <xdr:colOff>419100</xdr:colOff>
      <xdr:row>6</xdr:row>
      <xdr:rowOff>180974</xdr:rowOff>
    </xdr:to>
    <xdr:sp macro="" textlink="'Analysis 1'!B12">
      <xdr:nvSpPr>
        <xdr:cNvPr id="46" name="TextBox 45">
          <a:extLst>
            <a:ext uri="{FF2B5EF4-FFF2-40B4-BE49-F238E27FC236}">
              <a16:creationId xmlns:a16="http://schemas.microsoft.com/office/drawing/2014/main" id="{59D3A266-8D41-4135-AAC4-B6A4D424D29C}"/>
            </a:ext>
          </a:extLst>
        </xdr:cNvPr>
        <xdr:cNvSpPr txBox="1"/>
      </xdr:nvSpPr>
      <xdr:spPr>
        <a:xfrm>
          <a:off x="6838950" y="1000124"/>
          <a:ext cx="1504950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B18C5D4-ACBE-4B53-94A1-9D0E8F9EC686}" type="TxLink">
            <a:rPr lang="en-US" sz="1400" b="1" i="0" u="none" strike="noStrike">
              <a:solidFill>
                <a:schemeClr val="bg1">
                  <a:lumMod val="95000"/>
                </a:schemeClr>
              </a:solidFill>
              <a:latin typeface="Calibri"/>
              <a:ea typeface="Calibri"/>
              <a:cs typeface="Calibri"/>
            </a:rPr>
            <a:pPr algn="ctr"/>
            <a:t>South Line</a:t>
          </a:fld>
          <a:endParaRPr lang="en-US" sz="1600" b="1">
            <a:solidFill>
              <a:schemeClr val="bg1">
                <a:lumMod val="95000"/>
              </a:schemeClr>
            </a:solidFill>
          </a:endParaRPr>
        </a:p>
      </xdr:txBody>
    </xdr:sp>
    <xdr:clientData/>
  </xdr:twoCellAnchor>
  <xdr:twoCellAnchor>
    <xdr:from>
      <xdr:col>2</xdr:col>
      <xdr:colOff>57150</xdr:colOff>
      <xdr:row>4</xdr:row>
      <xdr:rowOff>163830</xdr:rowOff>
    </xdr:from>
    <xdr:to>
      <xdr:col>13</xdr:col>
      <xdr:colOff>219075</xdr:colOff>
      <xdr:row>5</xdr:row>
      <xdr:rowOff>19049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DDF0AE79-EA5F-4165-A5A1-22E099B64658}"/>
            </a:ext>
          </a:extLst>
        </xdr:cNvPr>
        <xdr:cNvSpPr/>
      </xdr:nvSpPr>
      <xdr:spPr>
        <a:xfrm>
          <a:off x="1276350" y="925830"/>
          <a:ext cx="6867525" cy="45719"/>
        </a:xfrm>
        <a:prstGeom prst="rect">
          <a:avLst/>
        </a:prstGeom>
        <a:gradFill>
          <a:gsLst>
            <a:gs pos="1000">
              <a:schemeClr val="tx1"/>
            </a:gs>
            <a:gs pos="50000">
              <a:srgbClr val="595959"/>
            </a:gs>
            <a:gs pos="100000">
              <a:schemeClr val="tx1"/>
            </a:gs>
          </a:gsLst>
          <a:lin ang="0" scaled="0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57150</xdr:colOff>
      <xdr:row>4</xdr:row>
      <xdr:rowOff>152399</xdr:rowOff>
    </xdr:from>
    <xdr:to>
      <xdr:col>6</xdr:col>
      <xdr:colOff>161925</xdr:colOff>
      <xdr:row>5</xdr:row>
      <xdr:rowOff>66674</xdr:rowOff>
    </xdr:to>
    <xdr:sp macro="" textlink="">
      <xdr:nvSpPr>
        <xdr:cNvPr id="48" name="Oval 47">
          <a:extLst>
            <a:ext uri="{FF2B5EF4-FFF2-40B4-BE49-F238E27FC236}">
              <a16:creationId xmlns:a16="http://schemas.microsoft.com/office/drawing/2014/main" id="{1B16ECDA-3B0C-4D22-8C65-C29112A02835}"/>
            </a:ext>
          </a:extLst>
        </xdr:cNvPr>
        <xdr:cNvSpPr/>
      </xdr:nvSpPr>
      <xdr:spPr>
        <a:xfrm>
          <a:off x="3714750" y="914399"/>
          <a:ext cx="104775" cy="104775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504825</xdr:colOff>
      <xdr:row>4</xdr:row>
      <xdr:rowOff>142874</xdr:rowOff>
    </xdr:from>
    <xdr:to>
      <xdr:col>3</xdr:col>
      <xdr:colOff>0</xdr:colOff>
      <xdr:row>5</xdr:row>
      <xdr:rowOff>57149</xdr:rowOff>
    </xdr:to>
    <xdr:sp macro="" textlink="">
      <xdr:nvSpPr>
        <xdr:cNvPr id="49" name="Oval 48">
          <a:extLst>
            <a:ext uri="{FF2B5EF4-FFF2-40B4-BE49-F238E27FC236}">
              <a16:creationId xmlns:a16="http://schemas.microsoft.com/office/drawing/2014/main" id="{0C9315E6-B938-4054-AF4B-2D6F36042E45}"/>
            </a:ext>
          </a:extLst>
        </xdr:cNvPr>
        <xdr:cNvSpPr/>
      </xdr:nvSpPr>
      <xdr:spPr>
        <a:xfrm>
          <a:off x="1724025" y="904874"/>
          <a:ext cx="104775" cy="104775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247650</xdr:colOff>
      <xdr:row>4</xdr:row>
      <xdr:rowOff>161924</xdr:rowOff>
    </xdr:from>
    <xdr:to>
      <xdr:col>9</xdr:col>
      <xdr:colOff>352425</xdr:colOff>
      <xdr:row>5</xdr:row>
      <xdr:rowOff>76199</xdr:rowOff>
    </xdr:to>
    <xdr:sp macro="" textlink="">
      <xdr:nvSpPr>
        <xdr:cNvPr id="50" name="Oval 49">
          <a:extLst>
            <a:ext uri="{FF2B5EF4-FFF2-40B4-BE49-F238E27FC236}">
              <a16:creationId xmlns:a16="http://schemas.microsoft.com/office/drawing/2014/main" id="{7A881EDD-F1BC-4B68-88C0-C7E21FB23D3E}"/>
            </a:ext>
          </a:extLst>
        </xdr:cNvPr>
        <xdr:cNvSpPr/>
      </xdr:nvSpPr>
      <xdr:spPr>
        <a:xfrm>
          <a:off x="5734050" y="923924"/>
          <a:ext cx="104775" cy="104775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342900</xdr:colOff>
      <xdr:row>4</xdr:row>
      <xdr:rowOff>152399</xdr:rowOff>
    </xdr:from>
    <xdr:to>
      <xdr:col>12</xdr:col>
      <xdr:colOff>447675</xdr:colOff>
      <xdr:row>5</xdr:row>
      <xdr:rowOff>66674</xdr:rowOff>
    </xdr:to>
    <xdr:sp macro="" textlink="">
      <xdr:nvSpPr>
        <xdr:cNvPr id="51" name="Oval 50">
          <a:extLst>
            <a:ext uri="{FF2B5EF4-FFF2-40B4-BE49-F238E27FC236}">
              <a16:creationId xmlns:a16="http://schemas.microsoft.com/office/drawing/2014/main" id="{2900FF7E-2F56-4CB7-A5A0-F79E9D19E521}"/>
            </a:ext>
          </a:extLst>
        </xdr:cNvPr>
        <xdr:cNvSpPr/>
      </xdr:nvSpPr>
      <xdr:spPr>
        <a:xfrm>
          <a:off x="7658100" y="914399"/>
          <a:ext cx="104775" cy="104775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209550</xdr:colOff>
      <xdr:row>0</xdr:row>
      <xdr:rowOff>123824</xdr:rowOff>
    </xdr:from>
    <xdr:to>
      <xdr:col>6</xdr:col>
      <xdr:colOff>190500</xdr:colOff>
      <xdr:row>2</xdr:row>
      <xdr:rowOff>66674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EF01A724-0B3C-45E8-9235-F78551EA262B}"/>
            </a:ext>
          </a:extLst>
        </xdr:cNvPr>
        <xdr:cNvSpPr txBox="1"/>
      </xdr:nvSpPr>
      <xdr:spPr>
        <a:xfrm>
          <a:off x="819150" y="123824"/>
          <a:ext cx="3028950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>
              <a:solidFill>
                <a:schemeClr val="tx2">
                  <a:lumMod val="40000"/>
                  <a:lumOff val="60000"/>
                </a:schemeClr>
              </a:solidFill>
            </a:rPr>
            <a:t>Transportations</a:t>
          </a:r>
          <a:r>
            <a:rPr lang="en-US" sz="1800" b="1">
              <a:solidFill>
                <a:schemeClr val="bg2">
                  <a:lumMod val="75000"/>
                </a:schemeClr>
              </a:solidFill>
            </a:rPr>
            <a:t> Dashboard</a:t>
          </a:r>
        </a:p>
      </xdr:txBody>
    </xdr:sp>
    <xdr:clientData/>
  </xdr:twoCellAnchor>
  <xdr:twoCellAnchor>
    <xdr:from>
      <xdr:col>1</xdr:col>
      <xdr:colOff>371476</xdr:colOff>
      <xdr:row>9</xdr:row>
      <xdr:rowOff>0</xdr:rowOff>
    </xdr:from>
    <xdr:to>
      <xdr:col>5</xdr:col>
      <xdr:colOff>447676</xdr:colOff>
      <xdr:row>33</xdr:row>
      <xdr:rowOff>0</xdr:rowOff>
    </xdr:to>
    <xdr:grpSp>
      <xdr:nvGrpSpPr>
        <xdr:cNvPr id="81" name="Group 80">
          <a:extLst>
            <a:ext uri="{FF2B5EF4-FFF2-40B4-BE49-F238E27FC236}">
              <a16:creationId xmlns:a16="http://schemas.microsoft.com/office/drawing/2014/main" id="{F2BB7037-25EE-4888-BE0E-8CB72BC7C03B}"/>
            </a:ext>
          </a:extLst>
        </xdr:cNvPr>
        <xdr:cNvGrpSpPr/>
      </xdr:nvGrpSpPr>
      <xdr:grpSpPr>
        <a:xfrm>
          <a:off x="981076" y="1714500"/>
          <a:ext cx="2514600" cy="4572000"/>
          <a:chOff x="942975" y="1943100"/>
          <a:chExt cx="4528185" cy="2752725"/>
        </a:xfrm>
      </xdr:grpSpPr>
      <xdr:sp macro="" textlink="">
        <xdr:nvSpPr>
          <xdr:cNvPr id="82" name="Rectangle: Rounded Corners 81">
            <a:extLst>
              <a:ext uri="{FF2B5EF4-FFF2-40B4-BE49-F238E27FC236}">
                <a16:creationId xmlns:a16="http://schemas.microsoft.com/office/drawing/2014/main" id="{19775F20-F208-30BE-2C1C-307E96316301}"/>
              </a:ext>
            </a:extLst>
          </xdr:cNvPr>
          <xdr:cNvSpPr/>
        </xdr:nvSpPr>
        <xdr:spPr>
          <a:xfrm>
            <a:off x="990600" y="1952625"/>
            <a:ext cx="4480560" cy="2743200"/>
          </a:xfrm>
          <a:prstGeom prst="roundRect">
            <a:avLst>
              <a:gd name="adj" fmla="val 5678"/>
            </a:avLst>
          </a:prstGeom>
          <a:solidFill>
            <a:schemeClr val="bg2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200"/>
          </a:p>
        </xdr:txBody>
      </xdr:sp>
      <xdr:sp macro="" textlink="">
        <xdr:nvSpPr>
          <xdr:cNvPr id="83" name="Rectangle: Rounded Corners 82">
            <a:extLst>
              <a:ext uri="{FF2B5EF4-FFF2-40B4-BE49-F238E27FC236}">
                <a16:creationId xmlns:a16="http://schemas.microsoft.com/office/drawing/2014/main" id="{F0AE1B49-66D5-3273-18FE-CC5B2981B8D3}"/>
              </a:ext>
            </a:extLst>
          </xdr:cNvPr>
          <xdr:cNvSpPr/>
        </xdr:nvSpPr>
        <xdr:spPr>
          <a:xfrm>
            <a:off x="942975" y="1943100"/>
            <a:ext cx="4480560" cy="2743200"/>
          </a:xfrm>
          <a:prstGeom prst="roundRect">
            <a:avLst>
              <a:gd name="adj" fmla="val 5678"/>
            </a:avLst>
          </a:prstGeom>
          <a:solidFill>
            <a:schemeClr val="tx1">
              <a:lumMod val="95000"/>
              <a:lumOff val="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200"/>
          </a:p>
        </xdr:txBody>
      </xdr:sp>
    </xdr:grpSp>
    <xdr:clientData/>
  </xdr:twoCellAnchor>
  <xdr:twoCellAnchor>
    <xdr:from>
      <xdr:col>15</xdr:col>
      <xdr:colOff>190500</xdr:colOff>
      <xdr:row>2</xdr:row>
      <xdr:rowOff>142874</xdr:rowOff>
    </xdr:from>
    <xdr:to>
      <xdr:col>20</xdr:col>
      <xdr:colOff>523874</xdr:colOff>
      <xdr:row>33</xdr:row>
      <xdr:rowOff>76200</xdr:rowOff>
    </xdr:to>
    <xdr:grpSp>
      <xdr:nvGrpSpPr>
        <xdr:cNvPr id="92" name="Group 91">
          <a:extLst>
            <a:ext uri="{FF2B5EF4-FFF2-40B4-BE49-F238E27FC236}">
              <a16:creationId xmlns:a16="http://schemas.microsoft.com/office/drawing/2014/main" id="{5E7042F4-1E89-42FE-B2C5-739029674711}"/>
            </a:ext>
          </a:extLst>
        </xdr:cNvPr>
        <xdr:cNvGrpSpPr/>
      </xdr:nvGrpSpPr>
      <xdr:grpSpPr>
        <a:xfrm>
          <a:off x="9334500" y="523874"/>
          <a:ext cx="3381374" cy="5838826"/>
          <a:chOff x="942975" y="1943100"/>
          <a:chExt cx="4528185" cy="2752725"/>
        </a:xfrm>
      </xdr:grpSpPr>
      <xdr:sp macro="" textlink="">
        <xdr:nvSpPr>
          <xdr:cNvPr id="93" name="Rectangle: Rounded Corners 92">
            <a:extLst>
              <a:ext uri="{FF2B5EF4-FFF2-40B4-BE49-F238E27FC236}">
                <a16:creationId xmlns:a16="http://schemas.microsoft.com/office/drawing/2014/main" id="{02BED956-354D-B076-B7F6-D10F1A092E9D}"/>
              </a:ext>
            </a:extLst>
          </xdr:cNvPr>
          <xdr:cNvSpPr/>
        </xdr:nvSpPr>
        <xdr:spPr>
          <a:xfrm>
            <a:off x="990600" y="1952625"/>
            <a:ext cx="4480560" cy="2743200"/>
          </a:xfrm>
          <a:prstGeom prst="roundRect">
            <a:avLst>
              <a:gd name="adj" fmla="val 5678"/>
            </a:avLst>
          </a:prstGeom>
          <a:solidFill>
            <a:schemeClr val="bg2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200"/>
          </a:p>
        </xdr:txBody>
      </xdr:sp>
      <xdr:sp macro="" textlink="">
        <xdr:nvSpPr>
          <xdr:cNvPr id="94" name="Rectangle: Rounded Corners 93">
            <a:extLst>
              <a:ext uri="{FF2B5EF4-FFF2-40B4-BE49-F238E27FC236}">
                <a16:creationId xmlns:a16="http://schemas.microsoft.com/office/drawing/2014/main" id="{BAFA247D-FC94-6893-D947-C6C89FC209A0}"/>
              </a:ext>
            </a:extLst>
          </xdr:cNvPr>
          <xdr:cNvSpPr/>
        </xdr:nvSpPr>
        <xdr:spPr>
          <a:xfrm>
            <a:off x="942975" y="1943100"/>
            <a:ext cx="4480560" cy="2743200"/>
          </a:xfrm>
          <a:prstGeom prst="roundRect">
            <a:avLst>
              <a:gd name="adj" fmla="val 5678"/>
            </a:avLst>
          </a:prstGeom>
          <a:solidFill>
            <a:schemeClr val="tx1">
              <a:lumMod val="95000"/>
              <a:lumOff val="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200"/>
          </a:p>
        </xdr:txBody>
      </xdr:sp>
    </xdr:grpSp>
    <xdr:clientData/>
  </xdr:twoCellAnchor>
  <xdr:twoCellAnchor>
    <xdr:from>
      <xdr:col>17</xdr:col>
      <xdr:colOff>0</xdr:colOff>
      <xdr:row>5</xdr:row>
      <xdr:rowOff>114300</xdr:rowOff>
    </xdr:from>
    <xdr:to>
      <xdr:col>17</xdr:col>
      <xdr:colOff>104775</xdr:colOff>
      <xdr:row>6</xdr:row>
      <xdr:rowOff>28575</xdr:rowOff>
    </xdr:to>
    <xdr:sp macro="" textlink="">
      <xdr:nvSpPr>
        <xdr:cNvPr id="108" name="Oval 107">
          <a:extLst>
            <a:ext uri="{FF2B5EF4-FFF2-40B4-BE49-F238E27FC236}">
              <a16:creationId xmlns:a16="http://schemas.microsoft.com/office/drawing/2014/main" id="{424EFAD3-91A8-4146-9802-A176B6159B71}"/>
            </a:ext>
          </a:extLst>
        </xdr:cNvPr>
        <xdr:cNvSpPr/>
      </xdr:nvSpPr>
      <xdr:spPr>
        <a:xfrm>
          <a:off x="10363200" y="1066800"/>
          <a:ext cx="104775" cy="104775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457201</xdr:colOff>
      <xdr:row>10</xdr:row>
      <xdr:rowOff>161925</xdr:rowOff>
    </xdr:from>
    <xdr:to>
      <xdr:col>5</xdr:col>
      <xdr:colOff>476251</xdr:colOff>
      <xdr:row>32</xdr:row>
      <xdr:rowOff>76201</xdr:rowOff>
    </xdr:to>
    <xdr:graphicFrame macro="">
      <xdr:nvGraphicFramePr>
        <xdr:cNvPr id="120" name="Chart 119">
          <a:extLst>
            <a:ext uri="{FF2B5EF4-FFF2-40B4-BE49-F238E27FC236}">
              <a16:creationId xmlns:a16="http://schemas.microsoft.com/office/drawing/2014/main" id="{A1E92262-E6F9-4C31-A8FB-B6BCF540B9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473075</xdr:colOff>
      <xdr:row>9</xdr:row>
      <xdr:rowOff>47624</xdr:rowOff>
    </xdr:from>
    <xdr:to>
      <xdr:col>5</xdr:col>
      <xdr:colOff>419100</xdr:colOff>
      <xdr:row>10</xdr:row>
      <xdr:rowOff>180974</xdr:rowOff>
    </xdr:to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4980910E-9B53-BBDF-E4EC-7A74DB135DB1}"/>
            </a:ext>
          </a:extLst>
        </xdr:cNvPr>
        <xdr:cNvSpPr txBox="1"/>
      </xdr:nvSpPr>
      <xdr:spPr>
        <a:xfrm>
          <a:off x="1082675" y="1762124"/>
          <a:ext cx="2384425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>
              <a:solidFill>
                <a:schemeClr val="bg2">
                  <a:lumMod val="75000"/>
                </a:schemeClr>
              </a:solidFill>
            </a:rPr>
            <a:t>Total Riders Distribution by Route</a:t>
          </a:r>
        </a:p>
      </xdr:txBody>
    </xdr:sp>
    <xdr:clientData/>
  </xdr:twoCellAnchor>
  <xdr:twoCellAnchor>
    <xdr:from>
      <xdr:col>1</xdr:col>
      <xdr:colOff>438150</xdr:colOff>
      <xdr:row>9</xdr:row>
      <xdr:rowOff>171449</xdr:rowOff>
    </xdr:from>
    <xdr:to>
      <xdr:col>1</xdr:col>
      <xdr:colOff>542925</xdr:colOff>
      <xdr:row>10</xdr:row>
      <xdr:rowOff>85724</xdr:rowOff>
    </xdr:to>
    <xdr:sp macro="" textlink="">
      <xdr:nvSpPr>
        <xdr:cNvPr id="122" name="Oval 121">
          <a:extLst>
            <a:ext uri="{FF2B5EF4-FFF2-40B4-BE49-F238E27FC236}">
              <a16:creationId xmlns:a16="http://schemas.microsoft.com/office/drawing/2014/main" id="{69BB31BB-6B51-ECA8-6B21-81B4E8E51783}"/>
            </a:ext>
          </a:extLst>
        </xdr:cNvPr>
        <xdr:cNvSpPr/>
      </xdr:nvSpPr>
      <xdr:spPr>
        <a:xfrm>
          <a:off x="1047750" y="1885949"/>
          <a:ext cx="104775" cy="104775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600075</xdr:colOff>
      <xdr:row>9</xdr:row>
      <xdr:rowOff>0</xdr:rowOff>
    </xdr:from>
    <xdr:to>
      <xdr:col>10</xdr:col>
      <xdr:colOff>180975</xdr:colOff>
      <xdr:row>18</xdr:row>
      <xdr:rowOff>38100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8860F98A-2483-6E22-DA34-5E46C0DF02DB}"/>
            </a:ext>
          </a:extLst>
        </xdr:cNvPr>
        <xdr:cNvGrpSpPr/>
      </xdr:nvGrpSpPr>
      <xdr:grpSpPr>
        <a:xfrm>
          <a:off x="3648075" y="1714500"/>
          <a:ext cx="2628900" cy="1752600"/>
          <a:chOff x="942975" y="1943100"/>
          <a:chExt cx="4528185" cy="2752725"/>
        </a:xfrm>
      </xdr:grpSpPr>
      <xdr:sp macro="" textlink="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F9667B89-3BE4-DD3E-27B2-2D3C00AA3F50}"/>
              </a:ext>
            </a:extLst>
          </xdr:cNvPr>
          <xdr:cNvSpPr/>
        </xdr:nvSpPr>
        <xdr:spPr>
          <a:xfrm>
            <a:off x="990600" y="1952625"/>
            <a:ext cx="4480560" cy="2743200"/>
          </a:xfrm>
          <a:prstGeom prst="roundRect">
            <a:avLst>
              <a:gd name="adj" fmla="val 5678"/>
            </a:avLst>
          </a:prstGeom>
          <a:solidFill>
            <a:schemeClr val="bg2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200"/>
          </a:p>
        </xdr:txBody>
      </xdr:sp>
      <xdr:sp macro="" textlink="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C87F8B94-DE44-D760-A813-75C48AF1A56B}"/>
              </a:ext>
            </a:extLst>
          </xdr:cNvPr>
          <xdr:cNvSpPr/>
        </xdr:nvSpPr>
        <xdr:spPr>
          <a:xfrm>
            <a:off x="942975" y="1943100"/>
            <a:ext cx="4480560" cy="2743200"/>
          </a:xfrm>
          <a:prstGeom prst="roundRect">
            <a:avLst>
              <a:gd name="adj" fmla="val 5678"/>
            </a:avLst>
          </a:prstGeom>
          <a:solidFill>
            <a:schemeClr val="tx1">
              <a:lumMod val="95000"/>
              <a:lumOff val="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200"/>
          </a:p>
        </xdr:txBody>
      </xdr:sp>
    </xdr:grpSp>
    <xdr:clientData/>
  </xdr:twoCellAnchor>
  <xdr:twoCellAnchor>
    <xdr:from>
      <xdr:col>5</xdr:col>
      <xdr:colOff>581025</xdr:colOff>
      <xdr:row>10</xdr:row>
      <xdr:rowOff>180975</xdr:rowOff>
    </xdr:from>
    <xdr:to>
      <xdr:col>11</xdr:col>
      <xdr:colOff>209548</xdr:colOff>
      <xdr:row>17</xdr:row>
      <xdr:rowOff>171450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D046D69A-4421-46A6-852F-5C2FE5DC1A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419100</xdr:colOff>
      <xdr:row>9</xdr:row>
      <xdr:rowOff>38100</xdr:rowOff>
    </xdr:from>
    <xdr:to>
      <xdr:col>15</xdr:col>
      <xdr:colOff>0</xdr:colOff>
      <xdr:row>18</xdr:row>
      <xdr:rowOff>76200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DDDFC85B-939D-35AF-4DC5-58180E0982D1}"/>
            </a:ext>
          </a:extLst>
        </xdr:cNvPr>
        <xdr:cNvGrpSpPr/>
      </xdr:nvGrpSpPr>
      <xdr:grpSpPr>
        <a:xfrm>
          <a:off x="6515100" y="1752600"/>
          <a:ext cx="2628900" cy="1752600"/>
          <a:chOff x="942975" y="1943100"/>
          <a:chExt cx="4528185" cy="2752725"/>
        </a:xfrm>
      </xdr:grpSpPr>
      <xdr:sp macro="" textlink="">
        <xdr:nvSpPr>
          <xdr:cNvPr id="17" name="Rectangle: Rounded Corners 16">
            <a:extLst>
              <a:ext uri="{FF2B5EF4-FFF2-40B4-BE49-F238E27FC236}">
                <a16:creationId xmlns:a16="http://schemas.microsoft.com/office/drawing/2014/main" id="{C13A9F67-2382-A690-ADC7-EF4647D1E0EC}"/>
              </a:ext>
            </a:extLst>
          </xdr:cNvPr>
          <xdr:cNvSpPr/>
        </xdr:nvSpPr>
        <xdr:spPr>
          <a:xfrm>
            <a:off x="990600" y="1952625"/>
            <a:ext cx="4480560" cy="2743200"/>
          </a:xfrm>
          <a:prstGeom prst="roundRect">
            <a:avLst>
              <a:gd name="adj" fmla="val 5678"/>
            </a:avLst>
          </a:prstGeom>
          <a:solidFill>
            <a:schemeClr val="bg2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200"/>
          </a:p>
        </xdr:txBody>
      </xdr:sp>
      <xdr:sp macro="" textlink="">
        <xdr:nvSpPr>
          <xdr:cNvPr id="18" name="Rectangle: Rounded Corners 17">
            <a:extLst>
              <a:ext uri="{FF2B5EF4-FFF2-40B4-BE49-F238E27FC236}">
                <a16:creationId xmlns:a16="http://schemas.microsoft.com/office/drawing/2014/main" id="{FF7F7818-71DE-972B-7F2E-DB87A8647CC8}"/>
              </a:ext>
            </a:extLst>
          </xdr:cNvPr>
          <xdr:cNvSpPr/>
        </xdr:nvSpPr>
        <xdr:spPr>
          <a:xfrm>
            <a:off x="942975" y="1943100"/>
            <a:ext cx="4480560" cy="2743200"/>
          </a:xfrm>
          <a:prstGeom prst="roundRect">
            <a:avLst>
              <a:gd name="adj" fmla="val 5678"/>
            </a:avLst>
          </a:prstGeom>
          <a:solidFill>
            <a:schemeClr val="tx1">
              <a:lumMod val="95000"/>
              <a:lumOff val="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200"/>
          </a:p>
        </xdr:txBody>
      </xdr:sp>
    </xdr:grpSp>
    <xdr:clientData/>
  </xdr:twoCellAnchor>
  <xdr:twoCellAnchor>
    <xdr:from>
      <xdr:col>6</xdr:col>
      <xdr:colOff>238125</xdr:colOff>
      <xdr:row>9</xdr:row>
      <xdr:rowOff>19049</xdr:rowOff>
    </xdr:from>
    <xdr:to>
      <xdr:col>9</xdr:col>
      <xdr:colOff>133350</xdr:colOff>
      <xdr:row>10</xdr:row>
      <xdr:rowOff>152399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BF328E8A-CEEA-9347-7BE0-C87FDC8BE90C}"/>
            </a:ext>
          </a:extLst>
        </xdr:cNvPr>
        <xdr:cNvSpPr txBox="1"/>
      </xdr:nvSpPr>
      <xdr:spPr>
        <a:xfrm>
          <a:off x="3895725" y="1733549"/>
          <a:ext cx="1724025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>
              <a:solidFill>
                <a:schemeClr val="bg2">
                  <a:lumMod val="75000"/>
                </a:schemeClr>
              </a:solidFill>
            </a:rPr>
            <a:t>Total Riders by Gender</a:t>
          </a:r>
        </a:p>
      </xdr:txBody>
    </xdr:sp>
    <xdr:clientData/>
  </xdr:twoCellAnchor>
  <xdr:twoCellAnchor>
    <xdr:from>
      <xdr:col>6</xdr:col>
      <xdr:colOff>171450</xdr:colOff>
      <xdr:row>9</xdr:row>
      <xdr:rowOff>133349</xdr:rowOff>
    </xdr:from>
    <xdr:to>
      <xdr:col>6</xdr:col>
      <xdr:colOff>276225</xdr:colOff>
      <xdr:row>10</xdr:row>
      <xdr:rowOff>47624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CCB9C853-B056-0744-B0DC-42EC98133AD3}"/>
            </a:ext>
          </a:extLst>
        </xdr:cNvPr>
        <xdr:cNvSpPr/>
      </xdr:nvSpPr>
      <xdr:spPr>
        <a:xfrm>
          <a:off x="3829050" y="1847849"/>
          <a:ext cx="104775" cy="104775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600075</xdr:colOff>
      <xdr:row>19</xdr:row>
      <xdr:rowOff>180975</xdr:rowOff>
    </xdr:from>
    <xdr:to>
      <xdr:col>14</xdr:col>
      <xdr:colOff>600076</xdr:colOff>
      <xdr:row>28</xdr:row>
      <xdr:rowOff>9524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05EAAB5F-D33B-0F78-B89B-98249BAAB803}"/>
            </a:ext>
          </a:extLst>
        </xdr:cNvPr>
        <xdr:cNvGrpSpPr/>
      </xdr:nvGrpSpPr>
      <xdr:grpSpPr>
        <a:xfrm>
          <a:off x="3648075" y="3800475"/>
          <a:ext cx="5486401" cy="1543049"/>
          <a:chOff x="942975" y="1943100"/>
          <a:chExt cx="4504724" cy="2752725"/>
        </a:xfrm>
      </xdr:grpSpPr>
      <xdr:sp macro="" textlink="">
        <xdr:nvSpPr>
          <xdr:cNvPr id="8" name="Rectangle: Rounded Corners 7">
            <a:extLst>
              <a:ext uri="{FF2B5EF4-FFF2-40B4-BE49-F238E27FC236}">
                <a16:creationId xmlns:a16="http://schemas.microsoft.com/office/drawing/2014/main" id="{D84DDFE4-3B1A-21E7-6679-379BEDEC3615}"/>
              </a:ext>
            </a:extLst>
          </xdr:cNvPr>
          <xdr:cNvSpPr/>
        </xdr:nvSpPr>
        <xdr:spPr>
          <a:xfrm>
            <a:off x="990601" y="1952624"/>
            <a:ext cx="4457098" cy="2743201"/>
          </a:xfrm>
          <a:prstGeom prst="roundRect">
            <a:avLst>
              <a:gd name="adj" fmla="val 5678"/>
            </a:avLst>
          </a:prstGeom>
          <a:solidFill>
            <a:schemeClr val="bg2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200"/>
          </a:p>
        </xdr:txBody>
      </xdr:sp>
      <xdr:sp macro="" textlink="">
        <xdr:nvSpPr>
          <xdr:cNvPr id="9" name="Rectangle: Rounded Corners 8">
            <a:extLst>
              <a:ext uri="{FF2B5EF4-FFF2-40B4-BE49-F238E27FC236}">
                <a16:creationId xmlns:a16="http://schemas.microsoft.com/office/drawing/2014/main" id="{4F05FAA4-E623-8BBD-FAF6-8313B6389ACE}"/>
              </a:ext>
            </a:extLst>
          </xdr:cNvPr>
          <xdr:cNvSpPr/>
        </xdr:nvSpPr>
        <xdr:spPr>
          <a:xfrm>
            <a:off x="942975" y="1943100"/>
            <a:ext cx="4480560" cy="2743200"/>
          </a:xfrm>
          <a:prstGeom prst="roundRect">
            <a:avLst>
              <a:gd name="adj" fmla="val 5678"/>
            </a:avLst>
          </a:prstGeom>
          <a:solidFill>
            <a:schemeClr val="tx1">
              <a:lumMod val="95000"/>
              <a:lumOff val="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200"/>
          </a:p>
        </xdr:txBody>
      </xdr:sp>
    </xdr:grpSp>
    <xdr:clientData/>
  </xdr:twoCellAnchor>
  <xdr:twoCellAnchor>
    <xdr:from>
      <xdr:col>6</xdr:col>
      <xdr:colOff>133350</xdr:colOff>
      <xdr:row>14</xdr:row>
      <xdr:rowOff>47625</xdr:rowOff>
    </xdr:from>
    <xdr:to>
      <xdr:col>14</xdr:col>
      <xdr:colOff>276225</xdr:colOff>
      <xdr:row>28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26CBCC1-0D32-4B0F-90CF-E389790A07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19050</xdr:colOff>
      <xdr:row>29</xdr:row>
      <xdr:rowOff>76200</xdr:rowOff>
    </xdr:from>
    <xdr:to>
      <xdr:col>15</xdr:col>
      <xdr:colOff>19051</xdr:colOff>
      <xdr:row>33</xdr:row>
      <xdr:rowOff>76200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33FAD29B-C22D-B2B7-E03B-D6FBACB6CF24}"/>
            </a:ext>
          </a:extLst>
        </xdr:cNvPr>
        <xdr:cNvGrpSpPr/>
      </xdr:nvGrpSpPr>
      <xdr:grpSpPr>
        <a:xfrm>
          <a:off x="3676650" y="5600700"/>
          <a:ext cx="5486401" cy="762000"/>
          <a:chOff x="942975" y="1943100"/>
          <a:chExt cx="4504724" cy="2752725"/>
        </a:xfrm>
      </xdr:grpSpPr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9BA4F431-3725-7531-9879-1A72010C587F}"/>
              </a:ext>
            </a:extLst>
          </xdr:cNvPr>
          <xdr:cNvSpPr/>
        </xdr:nvSpPr>
        <xdr:spPr>
          <a:xfrm>
            <a:off x="990601" y="1952623"/>
            <a:ext cx="4457098" cy="2743202"/>
          </a:xfrm>
          <a:prstGeom prst="roundRect">
            <a:avLst>
              <a:gd name="adj" fmla="val 10695"/>
            </a:avLst>
          </a:prstGeom>
          <a:solidFill>
            <a:schemeClr val="bg2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200"/>
          </a:p>
        </xdr:txBody>
      </xdr:sp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5036BCBA-96EE-7D0E-F979-26A2BDCB3351}"/>
              </a:ext>
            </a:extLst>
          </xdr:cNvPr>
          <xdr:cNvSpPr/>
        </xdr:nvSpPr>
        <xdr:spPr>
          <a:xfrm>
            <a:off x="942975" y="1943100"/>
            <a:ext cx="4480560" cy="2743199"/>
          </a:xfrm>
          <a:prstGeom prst="roundRect">
            <a:avLst>
              <a:gd name="adj" fmla="val 9441"/>
            </a:avLst>
          </a:prstGeom>
          <a:solidFill>
            <a:schemeClr val="tx1">
              <a:lumMod val="95000"/>
              <a:lumOff val="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200"/>
          </a:p>
        </xdr:txBody>
      </xdr:sp>
    </xdr:grpSp>
    <xdr:clientData/>
  </xdr:twoCellAnchor>
  <xdr:twoCellAnchor>
    <xdr:from>
      <xdr:col>6</xdr:col>
      <xdr:colOff>263526</xdr:colOff>
      <xdr:row>19</xdr:row>
      <xdr:rowOff>190499</xdr:rowOff>
    </xdr:from>
    <xdr:to>
      <xdr:col>9</xdr:col>
      <xdr:colOff>371476</xdr:colOff>
      <xdr:row>21</xdr:row>
      <xdr:rowOff>133349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3996CC-9FCF-92F9-B9C4-AFE95E7FD7AA}"/>
            </a:ext>
          </a:extLst>
        </xdr:cNvPr>
        <xdr:cNvSpPr txBox="1"/>
      </xdr:nvSpPr>
      <xdr:spPr>
        <a:xfrm>
          <a:off x="3921126" y="3809999"/>
          <a:ext cx="1936750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>
              <a:solidFill>
                <a:schemeClr val="bg2">
                  <a:lumMod val="75000"/>
                </a:schemeClr>
              </a:solidFill>
            </a:rPr>
            <a:t>Total Riders by</a:t>
          </a:r>
          <a:r>
            <a:rPr lang="en-US" sz="1200" b="1" baseline="0">
              <a:solidFill>
                <a:schemeClr val="bg2">
                  <a:lumMod val="75000"/>
                </a:schemeClr>
              </a:solidFill>
            </a:rPr>
            <a:t> Age Group</a:t>
          </a:r>
          <a:endParaRPr lang="en-US" sz="1200" b="1">
            <a:solidFill>
              <a:schemeClr val="bg2">
                <a:lumMod val="75000"/>
              </a:schemeClr>
            </a:solidFill>
          </a:endParaRPr>
        </a:p>
      </xdr:txBody>
    </xdr:sp>
    <xdr:clientData/>
  </xdr:twoCellAnchor>
  <xdr:twoCellAnchor>
    <xdr:from>
      <xdr:col>6</xdr:col>
      <xdr:colOff>285750</xdr:colOff>
      <xdr:row>29</xdr:row>
      <xdr:rowOff>161924</xdr:rowOff>
    </xdr:from>
    <xdr:to>
      <xdr:col>6</xdr:col>
      <xdr:colOff>390525</xdr:colOff>
      <xdr:row>30</xdr:row>
      <xdr:rowOff>76199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2391370C-562F-889B-856F-2FFFA46DA9E8}"/>
            </a:ext>
          </a:extLst>
        </xdr:cNvPr>
        <xdr:cNvSpPr/>
      </xdr:nvSpPr>
      <xdr:spPr>
        <a:xfrm>
          <a:off x="3943350" y="5686424"/>
          <a:ext cx="104775" cy="104775"/>
        </a:xfrm>
        <a:prstGeom prst="ellipse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523875</xdr:colOff>
      <xdr:row>20</xdr:row>
      <xdr:rowOff>9524</xdr:rowOff>
    </xdr:from>
    <xdr:to>
      <xdr:col>14</xdr:col>
      <xdr:colOff>123826</xdr:colOff>
      <xdr:row>21</xdr:row>
      <xdr:rowOff>142874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411DEF8E-2AE6-EB43-5B8F-8BFEB116D969}"/>
            </a:ext>
          </a:extLst>
        </xdr:cNvPr>
        <xdr:cNvSpPr txBox="1"/>
      </xdr:nvSpPr>
      <xdr:spPr>
        <a:xfrm>
          <a:off x="7229475" y="3819524"/>
          <a:ext cx="1428751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>
              <a:solidFill>
                <a:schemeClr val="bg2">
                  <a:lumMod val="75000"/>
                </a:schemeClr>
              </a:solidFill>
            </a:rPr>
            <a:t>Average Riders Age</a:t>
          </a:r>
        </a:p>
      </xdr:txBody>
    </xdr:sp>
    <xdr:clientData/>
  </xdr:twoCellAnchor>
  <xdr:twoCellAnchor>
    <xdr:from>
      <xdr:col>14</xdr:col>
      <xdr:colOff>6351</xdr:colOff>
      <xdr:row>20</xdr:row>
      <xdr:rowOff>19049</xdr:rowOff>
    </xdr:from>
    <xdr:to>
      <xdr:col>14</xdr:col>
      <xdr:colOff>514350</xdr:colOff>
      <xdr:row>21</xdr:row>
      <xdr:rowOff>152399</xdr:rowOff>
    </xdr:to>
    <xdr:sp macro="" textlink="'Analysis 2'!AD3">
      <xdr:nvSpPr>
        <xdr:cNvPr id="22" name="TextBox 21">
          <a:extLst>
            <a:ext uri="{FF2B5EF4-FFF2-40B4-BE49-F238E27FC236}">
              <a16:creationId xmlns:a16="http://schemas.microsoft.com/office/drawing/2014/main" id="{AF951FA0-50B7-FCAD-018D-B35C5D579B7F}"/>
            </a:ext>
          </a:extLst>
        </xdr:cNvPr>
        <xdr:cNvSpPr txBox="1"/>
      </xdr:nvSpPr>
      <xdr:spPr>
        <a:xfrm>
          <a:off x="8540751" y="3829049"/>
          <a:ext cx="507999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75DB041-0BFB-46A2-A559-85C7FB99C73E}" type="TxLink">
            <a:rPr lang="en-US" sz="1400" b="1" i="0" u="none" strike="noStrike">
              <a:solidFill>
                <a:schemeClr val="accent1">
                  <a:lumMod val="60000"/>
                  <a:lumOff val="40000"/>
                </a:schemeClr>
              </a:solidFill>
              <a:latin typeface="Calibri"/>
              <a:ea typeface="Calibri"/>
              <a:cs typeface="Calibri"/>
            </a:rPr>
            <a:pPr algn="ctr"/>
            <a:t>43</a:t>
          </a:fld>
          <a:endParaRPr lang="en-US" sz="1600" b="1">
            <a:solidFill>
              <a:schemeClr val="accent1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6</xdr:col>
      <xdr:colOff>206376</xdr:colOff>
      <xdr:row>29</xdr:row>
      <xdr:rowOff>47624</xdr:rowOff>
    </xdr:from>
    <xdr:to>
      <xdr:col>9</xdr:col>
      <xdr:colOff>314326</xdr:colOff>
      <xdr:row>30</xdr:row>
      <xdr:rowOff>180974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7DBBA19-6372-5F20-0E58-ACFA809F810A}"/>
            </a:ext>
          </a:extLst>
        </xdr:cNvPr>
        <xdr:cNvSpPr txBox="1"/>
      </xdr:nvSpPr>
      <xdr:spPr>
        <a:xfrm>
          <a:off x="3863976" y="5572124"/>
          <a:ext cx="1936750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>
              <a:solidFill>
                <a:schemeClr val="accent1">
                  <a:lumMod val="60000"/>
                  <a:lumOff val="40000"/>
                </a:schemeClr>
              </a:solidFill>
            </a:rPr>
            <a:t>Recommendations</a:t>
          </a: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904.507593518516" createdVersion="5" refreshedVersion="8" minRefreshableVersion="3" recordCount="0" supportSubquery="1" supportAdvancedDrill="1" xr:uid="{6E428A17-CE1D-4380-8613-5C226B68A0B4}">
  <cacheSource type="external" connectionId="7"/>
  <cacheFields count="3">
    <cacheField name="[factable].[Time].[Time]" caption="Time" numFmtId="0" hierarchy="20" level="1">
      <sharedItems containsSemiMixedTypes="0" containsNonDate="0" containsDate="1" containsString="0" minDate="1899-12-30T12:34:00" maxDate="1899-12-30T12:34:00" count="1">
        <d v="1899-12-30T12:34:00"/>
      </sharedItems>
      <extLst>
        <ext xmlns:x15="http://schemas.microsoft.com/office/spreadsheetml/2010/11/main" uri="{4F2E5C28-24EA-4eb8-9CBF-B6C8F9C3D259}">
          <x15:cachedUniqueNames>
            <x15:cachedUniqueName index="0" name="[factable].[Time].&amp;[1899-12-30T12:34:00]"/>
          </x15:cachedUniqueNames>
        </ext>
      </extLst>
    </cacheField>
    <cacheField name="[Measures].[Total Riders (Passengers)]" caption="Total Riders (Passengers)" numFmtId="0" hierarchy="46" level="32767"/>
    <cacheField name="[Measures].[Average Age]" caption="Average Age" numFmtId="0" hierarchy="45" level="32767"/>
  </cacheFields>
  <cacheHierarchies count="56">
    <cacheHierarchy uniqueName="[buses].[BusID]" caption="BusID" attribute="1" defaultMemberUniqueName="[buses].[BusID].[All]" allUniqueName="[buses].[BusID].[All]" dimensionUniqueName="[buses]" displayFolder="" count="0" memberValueDatatype="20" unbalanced="0"/>
    <cacheHierarchy uniqueName="[buses].[RouteID]" caption="RouteID" attribute="1" defaultMemberUniqueName="[buses].[RouteID].[All]" allUniqueName="[buses].[RouteID].[All]" dimensionUniqueName="[buses]" displayFolder="" count="0" memberValueDatatype="20" unbalanced="0"/>
    <cacheHierarchy uniqueName="[buses].[BusNumber]" caption="BusNumber" attribute="1" defaultMemberUniqueName="[buses].[BusNumber].[All]" allUniqueName="[buses].[BusNumber].[All]" dimensionUniqueName="[buses]" displayFolder="" count="0" memberValueDatatype="130" unbalanced="0"/>
    <cacheHierarchy uniqueName="[buses].[Capacity]" caption="Capacity" attribute="1" defaultMemberUniqueName="[buses].[Capacity].[All]" allUniqueName="[buses].[Capacity].[All]" dimensionUniqueName="[buses]" displayFolder="" count="0" memberValueDatatype="20" unbalanced="0"/>
    <cacheHierarchy uniqueName="[Calculations].[Calculations]" caption="Calculations" attribute="1" defaultMemberUniqueName="[Calculations].[Calculations].[All]" allUniqueName="[Calculations].[Calculations].[All]" dimensionUniqueName="[Calculations]" displayFolder="" count="0" memberValueDatatype="130" unbalanced="0"/>
    <cacheHierarchy uniqueName="[date].[Date]" caption="Date" attribute="1" time="1" defaultMemberUniqueName="[date].[Date].[All]" allUniqueName="[date].[Dat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Month Name]" caption="Month Name" attribute="1" defaultMemberUniqueName="[date].[Month Name].[All]" allUniqueName="[date].[Month Name].[All]" dimensionUniqueName="[date]" displayFolder="" count="0" memberValueDatatype="130" unbalanced="0"/>
    <cacheHierarchy uniqueName="[date].[Month Number]" caption="Month Number" attribute="1" defaultMemberUniqueName="[date].[Month Number].[All]" allUniqueName="[date].[Month Number].[All]" dimensionUniqueName="[date]" displayFolder="" count="0" memberValueDatatype="20" unbalanced="0"/>
    <cacheHierarchy uniqueName="[date].[Day Name]" caption="Day Name" attribute="1" defaultMemberUniqueName="[date].[Day Name].[All]" allUniqueName="[date].[Day Name].[All]" dimensionUniqueName="[date]" displayFolder="" count="0" memberValueDatatype="130" unbalanced="0"/>
    <cacheHierarchy uniqueName="[date].[Day of Week]" caption="Day of Week" attribute="1" defaultMemberUniqueName="[date].[Day of Week].[All]" allUniqueName="[date].[Day of Week].[All]" dimensionUniqueName="[date]" displayFolder="" count="0" memberValueDatatype="20" unbalanced="0"/>
    <cacheHierarchy uniqueName="[date].[WeekType]" caption="WeekType" attribute="1" defaultMemberUniqueName="[date].[WeekType].[All]" allUniqueName="[date].[WeekType].[All]" dimensionUniqueName="[date]" displayFolder="" count="0" memberValueDatatype="130" unbalanced="0"/>
    <cacheHierarchy uniqueName="[demographics].[RiderID]" caption="RiderID" attribute="1" defaultMemberUniqueName="[demographics].[RiderID].[All]" allUniqueName="[demographics].[RiderID].[All]" dimensionUniqueName="[demographics]" displayFolder="" count="0" memberValueDatatype="20" unbalanced="0"/>
    <cacheHierarchy uniqueName="[demographics].[Age]" caption="Age" attribute="1" defaultMemberUniqueName="[demographics].[Age].[All]" allUniqueName="[demographics].[Age].[All]" dimensionUniqueName="[demographics]" displayFolder="" count="0" memberValueDatatype="20" unbalanced="0"/>
    <cacheHierarchy uniqueName="[demographics].[Gender]" caption="Gender" attribute="1" defaultMemberUniqueName="[demographics].[Gender].[All]" allUniqueName="[demographics].[Gender].[All]" dimensionUniqueName="[demographics]" displayFolder="" count="0" memberValueDatatype="130" unbalanced="0"/>
    <cacheHierarchy uniqueName="[demographics].[Occupation]" caption="Occupation" attribute="1" defaultMemberUniqueName="[demographics].[Occupation].[All]" allUniqueName="[demographics].[Occupation].[All]" dimensionUniqueName="[demographics]" displayFolder="" count="0" memberValueDatatype="130" unbalanced="0"/>
    <cacheHierarchy uniqueName="[demographics].[AgeBracket]" caption="AgeBracket" attribute="1" defaultMemberUniqueName="[demographics].[AgeBracket].[All]" allUniqueName="[demographics].[AgeBracket].[All]" dimensionUniqueName="[demographics]" displayFolder="" count="0" memberValueDatatype="130" unbalanced="0"/>
    <cacheHierarchy uniqueName="[factable].[RecordID]" caption="RecordID" attribute="1" defaultMemberUniqueName="[factable].[RecordID].[All]" allUniqueName="[factable].[RecordID].[All]" dimensionUniqueName="[factable]" displayFolder="" count="0" memberValueDatatype="20" unbalanced="0"/>
    <cacheHierarchy uniqueName="[factable].[BusID]" caption="BusID" attribute="1" defaultMemberUniqueName="[factable].[BusID].[All]" allUniqueName="[factable].[BusID].[All]" dimensionUniqueName="[factable]" displayFolder="" count="0" memberValueDatatype="20" unbalanced="0"/>
    <cacheHierarchy uniqueName="[factable].[Date]" caption="Date" attribute="1" time="1" defaultMemberUniqueName="[factable].[Date].[All]" allUniqueName="[factable].[Date].[All]" dimensionUniqueName="[factable]" displayFolder="" count="0" memberValueDatatype="7" unbalanced="0"/>
    <cacheHierarchy uniqueName="[factable].[Time]" caption="Time" attribute="1" time="1" defaultMemberUniqueName="[factable].[Time].[All]" allUniqueName="[factable].[Time].[All]" dimensionUniqueName="[factable]" displayFolder="" count="2" memberValueDatatype="7" unbalanced="0">
      <fieldsUsage count="2">
        <fieldUsage x="-1"/>
        <fieldUsage x="0"/>
      </fieldsUsage>
    </cacheHierarchy>
    <cacheHierarchy uniqueName="[factable].[Operation Moment]" caption="Operation Moment" attribute="1" defaultMemberUniqueName="[factable].[Operation Moment].[All]" allUniqueName="[factable].[Operation Moment].[All]" dimensionUniqueName="[factable]" displayFolder="" count="0" memberValueDatatype="130" unbalanced="0"/>
    <cacheHierarchy uniqueName="[factable].[NumberOfRiders]" caption="NumberOfRiders" attribute="1" defaultMemberUniqueName="[factable].[NumberOfRiders].[All]" allUniqueName="[factable].[NumberOfRiders].[All]" dimensionUniqueName="[factable]" displayFolder="" count="0" memberValueDatatype="20" unbalanced="0"/>
    <cacheHierarchy uniqueName="[factable].[RiderID]" caption="RiderID" attribute="1" defaultMemberUniqueName="[factable].[RiderID].[All]" allUniqueName="[factable].[RiderID].[All]" dimensionUniqueName="[factable]" displayFolder="" count="0" memberValueDatatype="20" unbalanced="0"/>
    <cacheHierarchy uniqueName="[factable].[Time Segmentation]" caption="Time Segmentation" attribute="1" defaultMemberUniqueName="[factable].[Time Segmentation].[All]" allUniqueName="[factable].[Time Segmentation].[All]" dimensionUniqueName="[factable]" displayFolder="" count="0" memberValueDatatype="130" unbalanced="0"/>
    <cacheHierarchy uniqueName="[factable].[Capacity]" caption="Capacity" attribute="1" defaultMemberUniqueName="[factable].[Capacity].[All]" allUniqueName="[factable].[Capacity].[All]" dimensionUniqueName="[factable]" displayFolder="" count="0" memberValueDatatype="20" unbalanced="0"/>
    <cacheHierarchy uniqueName="[factable].[Utilization Percentage]" caption="Utilization Percentage" attribute="1" defaultMemberUniqueName="[factable].[Utilization Percentage].[All]" allUniqueName="[factable].[Utilization Percentage].[All]" dimensionUniqueName="[factable]" displayFolder="" count="0" memberValueDatatype="5" unbalanced="0"/>
    <cacheHierarchy uniqueName="[factable].[Utilization Criterion]" caption="Utilization Criterion" attribute="1" defaultMemberUniqueName="[factable].[Utilization Criterion].[All]" allUniqueName="[factable].[Utilization Criterion].[All]" dimensionUniqueName="[factable]" displayFolder="" count="0" memberValueDatatype="130" unbalanced="0"/>
    <cacheHierarchy uniqueName="[factable].[Time (Hour)]" caption="Time (Hour)" attribute="1" defaultMemberUniqueName="[factable].[Time (Hour)].[All]" allUniqueName="[factable].[Time (Hour)].[All]" dimensionUniqueName="[factable]" displayFolder="" count="0" memberValueDatatype="130" unbalanced="0"/>
    <cacheHierarchy uniqueName="[factable].[Time (Minute)]" caption="Time (Minute)" attribute="1" defaultMemberUniqueName="[factable].[Time (Minute)].[All]" allUniqueName="[factable].[Time (Minute)].[All]" dimensionUniqueName="[factable]" displayFolder="" count="0" memberValueDatatype="130" unbalanced="0"/>
    <cacheHierarchy uniqueName="[routes].[RouteID]" caption="RouteID" attribute="1" defaultMemberUniqueName="[routes].[RouteID].[All]" allUniqueName="[routes].[RouteID].[All]" dimensionUniqueName="[routes]" displayFolder="" count="0" memberValueDatatype="20" unbalanced="0"/>
    <cacheHierarchy uniqueName="[routes].[RouteName]" caption="RouteName" attribute="1" defaultMemberUniqueName="[routes].[RouteName].[All]" allUniqueName="[routes].[RouteName].[All]" dimensionUniqueName="[routes]" displayFolder="" count="0" memberValueDatatype="130" unbalanced="0"/>
    <cacheHierarchy uniqueName="[routes].[StartLocation]" caption="StartLocation" attribute="1" defaultMemberUniqueName="[routes].[StartLocation].[All]" allUniqueName="[routes].[StartLocation].[All]" dimensionUniqueName="[routes]" displayFolder="" count="0" memberValueDatatype="130" unbalanced="0"/>
    <cacheHierarchy uniqueName="[routes].[EndLocation]" caption="EndLocation" attribute="1" defaultMemberUniqueName="[routes].[EndLocation].[All]" allUniqueName="[routes].[EndLocation].[All]" dimensionUniqueName="[routes]" displayFolder="" count="0" memberValueDatatype="130" unbalanced="0"/>
    <cacheHierarchy uniqueName="[routes].[TripFee]" caption="TripFee" attribute="1" defaultMemberUniqueName="[routes].[TripFee].[All]" allUniqueName="[routes].[TripFee].[All]" dimensionUniqueName="[routes]" displayFolder="" count="0" memberValueDatatype="20" unbalanced="0"/>
    <cacheHierarchy uniqueName="[routes].[TakeOffTime]" caption="TakeOffTime" attribute="1" time="1" defaultMemberUniqueName="[routes].[TakeOffTime].[All]" allUniqueName="[routes].[TakeOffTime].[All]" dimensionUniqueName="[routes]" displayFolder="" count="0" memberValueDatatype="7" unbalanced="0"/>
    <cacheHierarchy uniqueName="[routes].[ArrivalTime]" caption="ArrivalTime" attribute="1" time="1" defaultMemberUniqueName="[routes].[ArrivalTime].[All]" allUniqueName="[routes].[ArrivalTime].[All]" dimensionUniqueName="[routes]" displayFolder="" count="0" memberValueDatatype="7" unbalanced="0"/>
    <cacheHierarchy uniqueName="[Measures].[Sum of Age]" caption="Sum of Age" measure="1" displayFolder="" measureGroup="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Age]" caption="Count of Age" measure="1" displayFolder="" measureGroup="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BusID]" caption="Sum of BusID" measure="1" displayFolder="" measureGroup="bus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BusID]" caption="Count of BusID" measure="1" displayFolder="" measureGroup="bus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iderID]" caption="Sum of RiderID" measure="1" displayFolder="" measureGroup="factable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RiderID]" caption="Count of RiderID" measure="1" displayFolder="" measureGroup="factable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NumberOfRiders]" caption="Sum of NumberOfRiders" measure="1" displayFolder="" measureGroup="factabl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Total Transaction]" caption="Total Transaction" measure="1" displayFolder="" measureGroup="Calculations" count="0"/>
    <cacheHierarchy uniqueName="[Measures].[Average Age]" caption="Average Age" measure="1" displayFolder="" measureGroup="Calculations" count="0" oneField="1">
      <fieldsUsage count="1">
        <fieldUsage x="2"/>
      </fieldsUsage>
    </cacheHierarchy>
    <cacheHierarchy uniqueName="[Measures].[Total Riders (Passengers)]" caption="Total Riders (Passengers)" measure="1" displayFolder="" measureGroup="Calculations" count="0" oneField="1">
      <fieldsUsage count="1">
        <fieldUsage x="1"/>
      </fieldsUsage>
    </cacheHierarchy>
    <cacheHierarchy uniqueName="[Measures].[Avg. Riders Per Trip]" caption="Avg. Riders Per Trip" measure="1" displayFolder="" measureGroup="Calculations" count="0"/>
    <cacheHierarchy uniqueName="[Measures].[Total Buses]" caption="Total Buses" measure="1" displayFolder="" measureGroup="Calculations" count="0"/>
    <cacheHierarchy uniqueName="[Measures].[__XL_Count buses]" caption="__XL_Count buses" measure="1" displayFolder="" measureGroup="buses" count="0" hidden="1"/>
    <cacheHierarchy uniqueName="[Measures].[__XL_Count demographics]" caption="__XL_Count demographics" measure="1" displayFolder="" measureGroup="demographics" count="0" hidden="1"/>
    <cacheHierarchy uniqueName="[Measures].[__XL_Count routes]" caption="__XL_Count routes" measure="1" displayFolder="" measureGroup="routes" count="0" hidden="1"/>
    <cacheHierarchy uniqueName="[Measures].[__XL_Count factable]" caption="__XL_Count factable" measure="1" displayFolder="" measureGroup="factable" count="0" hidden="1"/>
    <cacheHierarchy uniqueName="[Measures].[__XL_Count date]" caption="__XL_Count date" measure="1" displayFolder="" measureGroup="dat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buses" uniqueName="[buses]" caption="buses"/>
    <dimension name="Calculations" uniqueName="[Calculations]" caption="Calculations"/>
    <dimension name="date" uniqueName="[date]" caption="date"/>
    <dimension name="demographics" uniqueName="[demographics]" caption="demographics"/>
    <dimension name="factable" uniqueName="[factable]" caption="factable"/>
    <dimension measure="1" name="Measures" uniqueName="[Measures]" caption="Measures"/>
    <dimension name="routes" uniqueName="[routes]" caption="routes"/>
  </dimensions>
  <measureGroups count="6">
    <measureGroup name="buses" caption="buses"/>
    <measureGroup name="Calculations" caption="Calculations"/>
    <measureGroup name="date" caption="date"/>
    <measureGroup name="demographics" caption="demographics"/>
    <measureGroup name="factable" caption="factable"/>
    <measureGroup name="routes" caption="routes"/>
  </measureGroups>
  <maps count="11">
    <map measureGroup="0" dimension="0"/>
    <map measureGroup="0" dimension="6"/>
    <map measureGroup="1" dimension="1"/>
    <map measureGroup="2" dimension="2"/>
    <map measureGroup="3" dimension="3"/>
    <map measureGroup="4" dimension="0"/>
    <map measureGroup="4" dimension="2"/>
    <map measureGroup="4" dimension="3"/>
    <map measureGroup="4" dimension="4"/>
    <map measureGroup="4" dimension="6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904.507595370371" createdVersion="5" refreshedVersion="8" minRefreshableVersion="3" recordCount="0" supportSubquery="1" supportAdvancedDrill="1" xr:uid="{727AD169-5493-4390-AEE8-783827DA3ACE}">
  <cacheSource type="external" connectionId="7"/>
  <cacheFields count="4">
    <cacheField name="[routes].[RouteName].[RouteName]" caption="RouteName" numFmtId="0" hierarchy="31" level="1">
      <sharedItems count="10">
        <s v="Airport Express"/>
        <s v="Beachfront Route"/>
        <s v="Central Line"/>
        <s v="City Shuttle"/>
        <s v="East-West Express"/>
        <s v="Market Line"/>
        <s v="North Circular"/>
        <s v="South Line"/>
        <s v="Suburban Line"/>
        <s v="University Line"/>
      </sharedItems>
    </cacheField>
    <cacheField name="[factable].[Time].[Time]" caption="Time" numFmtId="0" hierarchy="20" level="1">
      <sharedItems containsSemiMixedTypes="0" containsNonDate="0" containsDate="1" containsString="0" minDate="1899-12-30T12:34:00" maxDate="1899-12-30T12:34:00" count="1">
        <d v="1899-12-30T12:34:00"/>
      </sharedItems>
      <extLst>
        <ext xmlns:x15="http://schemas.microsoft.com/office/spreadsheetml/2010/11/main" uri="{4F2E5C28-24EA-4eb8-9CBF-B6C8F9C3D259}">
          <x15:cachedUniqueNames>
            <x15:cachedUniqueName index="0" name="[factable].[Time].&amp;[1899-12-30T12:34:00]"/>
          </x15:cachedUniqueNames>
        </ext>
      </extLst>
    </cacheField>
    <cacheField name="[Measures].[Total Riders (Passengers)]" caption="Total Riders (Passengers)" numFmtId="0" hierarchy="46" level="32767"/>
    <cacheField name="[demographics].[AgeBracket].[AgeBracket]" caption="AgeBracket" numFmtId="0" hierarchy="16" level="1">
      <sharedItems count="6">
        <s v="0-19"/>
        <s v="20-29"/>
        <s v="30-39"/>
        <s v="40-49"/>
        <s v="50-59"/>
        <s v="60+"/>
      </sharedItems>
    </cacheField>
  </cacheFields>
  <cacheHierarchies count="56">
    <cacheHierarchy uniqueName="[buses].[BusID]" caption="BusID" attribute="1" defaultMemberUniqueName="[buses].[BusID].[All]" allUniqueName="[buses].[BusID].[All]" dimensionUniqueName="[buses]" displayFolder="" count="0" memberValueDatatype="20" unbalanced="0"/>
    <cacheHierarchy uniqueName="[buses].[RouteID]" caption="RouteID" attribute="1" defaultMemberUniqueName="[buses].[RouteID].[All]" allUniqueName="[buses].[RouteID].[All]" dimensionUniqueName="[buses]" displayFolder="" count="0" memberValueDatatype="20" unbalanced="0"/>
    <cacheHierarchy uniqueName="[buses].[BusNumber]" caption="BusNumber" attribute="1" defaultMemberUniqueName="[buses].[BusNumber].[All]" allUniqueName="[buses].[BusNumber].[All]" dimensionUniqueName="[buses]" displayFolder="" count="0" memberValueDatatype="130" unbalanced="0"/>
    <cacheHierarchy uniqueName="[buses].[Capacity]" caption="Capacity" attribute="1" defaultMemberUniqueName="[buses].[Capacity].[All]" allUniqueName="[buses].[Capacity].[All]" dimensionUniqueName="[buses]" displayFolder="" count="0" memberValueDatatype="20" unbalanced="0"/>
    <cacheHierarchy uniqueName="[Calculations].[Calculations]" caption="Calculations" attribute="1" defaultMemberUniqueName="[Calculations].[Calculations].[All]" allUniqueName="[Calculations].[Calculations].[All]" dimensionUniqueName="[Calculations]" displayFolder="" count="0" memberValueDatatype="130" unbalanced="0"/>
    <cacheHierarchy uniqueName="[date].[Date]" caption="Date" attribute="1" time="1" defaultMemberUniqueName="[date].[Date].[All]" allUniqueName="[date].[Dat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Month Name]" caption="Month Name" attribute="1" defaultMemberUniqueName="[date].[Month Name].[All]" allUniqueName="[date].[Month Name].[All]" dimensionUniqueName="[date]" displayFolder="" count="0" memberValueDatatype="130" unbalanced="0"/>
    <cacheHierarchy uniqueName="[date].[Month Number]" caption="Month Number" attribute="1" defaultMemberUniqueName="[date].[Month Number].[All]" allUniqueName="[date].[Month Number].[All]" dimensionUniqueName="[date]" displayFolder="" count="0" memberValueDatatype="20" unbalanced="0"/>
    <cacheHierarchy uniqueName="[date].[Day Name]" caption="Day Name" attribute="1" defaultMemberUniqueName="[date].[Day Name].[All]" allUniqueName="[date].[Day Name].[All]" dimensionUniqueName="[date]" displayFolder="" count="0" memberValueDatatype="130" unbalanced="0"/>
    <cacheHierarchy uniqueName="[date].[Day of Week]" caption="Day of Week" attribute="1" defaultMemberUniqueName="[date].[Day of Week].[All]" allUniqueName="[date].[Day of Week].[All]" dimensionUniqueName="[date]" displayFolder="" count="0" memberValueDatatype="20" unbalanced="0"/>
    <cacheHierarchy uniqueName="[date].[WeekType]" caption="WeekType" attribute="1" defaultMemberUniqueName="[date].[WeekType].[All]" allUniqueName="[date].[WeekType].[All]" dimensionUniqueName="[date]" displayFolder="" count="0" memberValueDatatype="130" unbalanced="0"/>
    <cacheHierarchy uniqueName="[demographics].[RiderID]" caption="RiderID" attribute="1" defaultMemberUniqueName="[demographics].[RiderID].[All]" allUniqueName="[demographics].[RiderID].[All]" dimensionUniqueName="[demographics]" displayFolder="" count="0" memberValueDatatype="20" unbalanced="0"/>
    <cacheHierarchy uniqueName="[demographics].[Age]" caption="Age" attribute="1" defaultMemberUniqueName="[demographics].[Age].[All]" allUniqueName="[demographics].[Age].[All]" dimensionUniqueName="[demographics]" displayFolder="" count="0" memberValueDatatype="20" unbalanced="0"/>
    <cacheHierarchy uniqueName="[demographics].[Gender]" caption="Gender" attribute="1" defaultMemberUniqueName="[demographics].[Gender].[All]" allUniqueName="[demographics].[Gender].[All]" dimensionUniqueName="[demographics]" displayFolder="" count="0" memberValueDatatype="130" unbalanced="0"/>
    <cacheHierarchy uniqueName="[demographics].[Occupation]" caption="Occupation" attribute="1" defaultMemberUniqueName="[demographics].[Occupation].[All]" allUniqueName="[demographics].[Occupation].[All]" dimensionUniqueName="[demographics]" displayFolder="" count="0" memberValueDatatype="130" unbalanced="0"/>
    <cacheHierarchy uniqueName="[demographics].[AgeBracket]" caption="AgeBracket" attribute="1" defaultMemberUniqueName="[demographics].[AgeBracket].[All]" allUniqueName="[demographics].[AgeBracket].[All]" dimensionUniqueName="[demographics]" displayFolder="" count="2" memberValueDatatype="130" unbalanced="0">
      <fieldsUsage count="2">
        <fieldUsage x="-1"/>
        <fieldUsage x="3"/>
      </fieldsUsage>
    </cacheHierarchy>
    <cacheHierarchy uniqueName="[factable].[RecordID]" caption="RecordID" attribute="1" defaultMemberUniqueName="[factable].[RecordID].[All]" allUniqueName="[factable].[RecordID].[All]" dimensionUniqueName="[factable]" displayFolder="" count="0" memberValueDatatype="20" unbalanced="0"/>
    <cacheHierarchy uniqueName="[factable].[BusID]" caption="BusID" attribute="1" defaultMemberUniqueName="[factable].[BusID].[All]" allUniqueName="[factable].[BusID].[All]" dimensionUniqueName="[factable]" displayFolder="" count="0" memberValueDatatype="20" unbalanced="0"/>
    <cacheHierarchy uniqueName="[factable].[Date]" caption="Date" attribute="1" time="1" defaultMemberUniqueName="[factable].[Date].[All]" allUniqueName="[factable].[Date].[All]" dimensionUniqueName="[factable]" displayFolder="" count="0" memberValueDatatype="7" unbalanced="0"/>
    <cacheHierarchy uniqueName="[factable].[Time]" caption="Time" attribute="1" time="1" defaultMemberUniqueName="[factable].[Time].[All]" allUniqueName="[factable].[Time].[All]" dimensionUniqueName="[factable]" displayFolder="" count="2" memberValueDatatype="7" unbalanced="0">
      <fieldsUsage count="2">
        <fieldUsage x="-1"/>
        <fieldUsage x="1"/>
      </fieldsUsage>
    </cacheHierarchy>
    <cacheHierarchy uniqueName="[factable].[Operation Moment]" caption="Operation Moment" attribute="1" defaultMemberUniqueName="[factable].[Operation Moment].[All]" allUniqueName="[factable].[Operation Moment].[All]" dimensionUniqueName="[factable]" displayFolder="" count="0" memberValueDatatype="130" unbalanced="0"/>
    <cacheHierarchy uniqueName="[factable].[NumberOfRiders]" caption="NumberOfRiders" attribute="1" defaultMemberUniqueName="[factable].[NumberOfRiders].[All]" allUniqueName="[factable].[NumberOfRiders].[All]" dimensionUniqueName="[factable]" displayFolder="" count="0" memberValueDatatype="20" unbalanced="0"/>
    <cacheHierarchy uniqueName="[factable].[RiderID]" caption="RiderID" attribute="1" defaultMemberUniqueName="[factable].[RiderID].[All]" allUniqueName="[factable].[RiderID].[All]" dimensionUniqueName="[factable]" displayFolder="" count="0" memberValueDatatype="20" unbalanced="0"/>
    <cacheHierarchy uniqueName="[factable].[Time Segmentation]" caption="Time Segmentation" attribute="1" defaultMemberUniqueName="[factable].[Time Segmentation].[All]" allUniqueName="[factable].[Time Segmentation].[All]" dimensionUniqueName="[factable]" displayFolder="" count="0" memberValueDatatype="130" unbalanced="0"/>
    <cacheHierarchy uniqueName="[factable].[Capacity]" caption="Capacity" attribute="1" defaultMemberUniqueName="[factable].[Capacity].[All]" allUniqueName="[factable].[Capacity].[All]" dimensionUniqueName="[factable]" displayFolder="" count="0" memberValueDatatype="20" unbalanced="0"/>
    <cacheHierarchy uniqueName="[factable].[Utilization Percentage]" caption="Utilization Percentage" attribute="1" defaultMemberUniqueName="[factable].[Utilization Percentage].[All]" allUniqueName="[factable].[Utilization Percentage].[All]" dimensionUniqueName="[factable]" displayFolder="" count="0" memberValueDatatype="5" unbalanced="0"/>
    <cacheHierarchy uniqueName="[factable].[Utilization Criterion]" caption="Utilization Criterion" attribute="1" defaultMemberUniqueName="[factable].[Utilization Criterion].[All]" allUniqueName="[factable].[Utilization Criterion].[All]" dimensionUniqueName="[factable]" displayFolder="" count="0" memberValueDatatype="130" unbalanced="0"/>
    <cacheHierarchy uniqueName="[factable].[Time (Hour)]" caption="Time (Hour)" attribute="1" defaultMemberUniqueName="[factable].[Time (Hour)].[All]" allUniqueName="[factable].[Time (Hour)].[All]" dimensionUniqueName="[factable]" displayFolder="" count="0" memberValueDatatype="130" unbalanced="0"/>
    <cacheHierarchy uniqueName="[factable].[Time (Minute)]" caption="Time (Minute)" attribute="1" defaultMemberUniqueName="[factable].[Time (Minute)].[All]" allUniqueName="[factable].[Time (Minute)].[All]" dimensionUniqueName="[factable]" displayFolder="" count="0" memberValueDatatype="130" unbalanced="0"/>
    <cacheHierarchy uniqueName="[routes].[RouteID]" caption="RouteID" attribute="1" defaultMemberUniqueName="[routes].[RouteID].[All]" allUniqueName="[routes].[RouteID].[All]" dimensionUniqueName="[routes]" displayFolder="" count="0" memberValueDatatype="20" unbalanced="0"/>
    <cacheHierarchy uniqueName="[routes].[RouteName]" caption="RouteName" attribute="1" defaultMemberUniqueName="[routes].[RouteName].[All]" allUniqueName="[routes].[RouteName].[All]" dimensionUniqueName="[routes]" displayFolder="" count="2" memberValueDatatype="130" unbalanced="0">
      <fieldsUsage count="2">
        <fieldUsage x="-1"/>
        <fieldUsage x="0"/>
      </fieldsUsage>
    </cacheHierarchy>
    <cacheHierarchy uniqueName="[routes].[StartLocation]" caption="StartLocation" attribute="1" defaultMemberUniqueName="[routes].[StartLocation].[All]" allUniqueName="[routes].[StartLocation].[All]" dimensionUniqueName="[routes]" displayFolder="" count="0" memberValueDatatype="130" unbalanced="0"/>
    <cacheHierarchy uniqueName="[routes].[EndLocation]" caption="EndLocation" attribute="1" defaultMemberUniqueName="[routes].[EndLocation].[All]" allUniqueName="[routes].[EndLocation].[All]" dimensionUniqueName="[routes]" displayFolder="" count="0" memberValueDatatype="130" unbalanced="0"/>
    <cacheHierarchy uniqueName="[routes].[TripFee]" caption="TripFee" attribute="1" defaultMemberUniqueName="[routes].[TripFee].[All]" allUniqueName="[routes].[TripFee].[All]" dimensionUniqueName="[routes]" displayFolder="" count="0" memberValueDatatype="20" unbalanced="0"/>
    <cacheHierarchy uniqueName="[routes].[TakeOffTime]" caption="TakeOffTime" attribute="1" time="1" defaultMemberUniqueName="[routes].[TakeOffTime].[All]" allUniqueName="[routes].[TakeOffTime].[All]" dimensionUniqueName="[routes]" displayFolder="" count="0" memberValueDatatype="7" unbalanced="0"/>
    <cacheHierarchy uniqueName="[routes].[ArrivalTime]" caption="ArrivalTime" attribute="1" time="1" defaultMemberUniqueName="[routes].[ArrivalTime].[All]" allUniqueName="[routes].[ArrivalTime].[All]" dimensionUniqueName="[routes]" displayFolder="" count="0" memberValueDatatype="7" unbalanced="0"/>
    <cacheHierarchy uniqueName="[Measures].[Sum of Age]" caption="Sum of Age" measure="1" displayFolder="" measureGroup="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Age]" caption="Count of Age" measure="1" displayFolder="" measureGroup="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BusID]" caption="Sum of BusID" measure="1" displayFolder="" measureGroup="bus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BusID]" caption="Count of BusID" measure="1" displayFolder="" measureGroup="bus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iderID]" caption="Sum of RiderID" measure="1" displayFolder="" measureGroup="factable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RiderID]" caption="Count of RiderID" measure="1" displayFolder="" measureGroup="factable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NumberOfRiders]" caption="Sum of NumberOfRiders" measure="1" displayFolder="" measureGroup="factabl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Total Transaction]" caption="Total Transaction" measure="1" displayFolder="" measureGroup="Calculations" count="0"/>
    <cacheHierarchy uniqueName="[Measures].[Average Age]" caption="Average Age" measure="1" displayFolder="" measureGroup="Calculations" count="0"/>
    <cacheHierarchy uniqueName="[Measures].[Total Riders (Passengers)]" caption="Total Riders (Passengers)" measure="1" displayFolder="" measureGroup="Calculations" count="0" oneField="1">
      <fieldsUsage count="1">
        <fieldUsage x="2"/>
      </fieldsUsage>
    </cacheHierarchy>
    <cacheHierarchy uniqueName="[Measures].[Avg. Riders Per Trip]" caption="Avg. Riders Per Trip" measure="1" displayFolder="" measureGroup="Calculations" count="0"/>
    <cacheHierarchy uniqueName="[Measures].[Total Buses]" caption="Total Buses" measure="1" displayFolder="" measureGroup="Calculations" count="0"/>
    <cacheHierarchy uniqueName="[Measures].[__XL_Count buses]" caption="__XL_Count buses" measure="1" displayFolder="" measureGroup="buses" count="0" hidden="1"/>
    <cacheHierarchy uniqueName="[Measures].[__XL_Count demographics]" caption="__XL_Count demographics" measure="1" displayFolder="" measureGroup="demographics" count="0" hidden="1"/>
    <cacheHierarchy uniqueName="[Measures].[__XL_Count routes]" caption="__XL_Count routes" measure="1" displayFolder="" measureGroup="routes" count="0" hidden="1"/>
    <cacheHierarchy uniqueName="[Measures].[__XL_Count factable]" caption="__XL_Count factable" measure="1" displayFolder="" measureGroup="factable" count="0" hidden="1"/>
    <cacheHierarchy uniqueName="[Measures].[__XL_Count date]" caption="__XL_Count date" measure="1" displayFolder="" measureGroup="dat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buses" uniqueName="[buses]" caption="buses"/>
    <dimension name="Calculations" uniqueName="[Calculations]" caption="Calculations"/>
    <dimension name="date" uniqueName="[date]" caption="date"/>
    <dimension name="demographics" uniqueName="[demographics]" caption="demographics"/>
    <dimension name="factable" uniqueName="[factable]" caption="factable"/>
    <dimension measure="1" name="Measures" uniqueName="[Measures]" caption="Measures"/>
    <dimension name="routes" uniqueName="[routes]" caption="routes"/>
  </dimensions>
  <measureGroups count="6">
    <measureGroup name="buses" caption="buses"/>
    <measureGroup name="Calculations" caption="Calculations"/>
    <measureGroup name="date" caption="date"/>
    <measureGroup name="demographics" caption="demographics"/>
    <measureGroup name="factable" caption="factable"/>
    <measureGroup name="routes" caption="routes"/>
  </measureGroups>
  <maps count="11">
    <map measureGroup="0" dimension="0"/>
    <map measureGroup="0" dimension="6"/>
    <map measureGroup="1" dimension="1"/>
    <map measureGroup="2" dimension="2"/>
    <map measureGroup="3" dimension="3"/>
    <map measureGroup="4" dimension="0"/>
    <map measureGroup="4" dimension="2"/>
    <map measureGroup="4" dimension="3"/>
    <map measureGroup="4" dimension="4"/>
    <map measureGroup="4" dimension="6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904.507596643518" createdVersion="5" refreshedVersion="8" minRefreshableVersion="3" recordCount="0" supportSubquery="1" supportAdvancedDrill="1" xr:uid="{056CDC7F-56CB-45A7-A9F3-A85719C6F772}">
  <cacheSource type="external" connectionId="7"/>
  <cacheFields count="4">
    <cacheField name="[routes].[RouteName].[RouteName]" caption="RouteName" numFmtId="0" hierarchy="31" level="1">
      <sharedItems count="1">
        <s v="East-West Express"/>
      </sharedItems>
    </cacheField>
    <cacheField name="[factable].[Time].[Time]" caption="Time" numFmtId="0" hierarchy="20" level="1">
      <sharedItems containsSemiMixedTypes="0" containsNonDate="0" containsDate="1" containsString="0" minDate="1899-12-30T12:34:00" maxDate="1899-12-30T12:34:00" count="1">
        <d v="1899-12-30T12:34:00"/>
      </sharedItems>
      <extLst>
        <ext xmlns:x15="http://schemas.microsoft.com/office/spreadsheetml/2010/11/main" uri="{4F2E5C28-24EA-4eb8-9CBF-B6C8F9C3D259}">
          <x15:cachedUniqueNames>
            <x15:cachedUniqueName index="0" name="[factable].[Time].&amp;[1899-12-30T12:34:00]"/>
          </x15:cachedUniqueNames>
        </ext>
      </extLst>
    </cacheField>
    <cacheField name="[Measures].[Total Riders (Passengers)]" caption="Total Riders (Passengers)" numFmtId="0" hierarchy="46" level="32767"/>
    <cacheField name="[factable].[Operation Moment].[Operation Moment]" caption="Operation Moment" numFmtId="0" hierarchy="21" level="1">
      <sharedItems count="2">
        <s v="AM"/>
        <s v="PM"/>
      </sharedItems>
    </cacheField>
  </cacheFields>
  <cacheHierarchies count="56">
    <cacheHierarchy uniqueName="[buses].[BusID]" caption="BusID" attribute="1" defaultMemberUniqueName="[buses].[BusID].[All]" allUniqueName="[buses].[BusID].[All]" dimensionUniqueName="[buses]" displayFolder="" count="0" memberValueDatatype="20" unbalanced="0"/>
    <cacheHierarchy uniqueName="[buses].[RouteID]" caption="RouteID" attribute="1" defaultMemberUniqueName="[buses].[RouteID].[All]" allUniqueName="[buses].[RouteID].[All]" dimensionUniqueName="[buses]" displayFolder="" count="0" memberValueDatatype="20" unbalanced="0"/>
    <cacheHierarchy uniqueName="[buses].[BusNumber]" caption="BusNumber" attribute="1" defaultMemberUniqueName="[buses].[BusNumber].[All]" allUniqueName="[buses].[BusNumber].[All]" dimensionUniqueName="[buses]" displayFolder="" count="0" memberValueDatatype="130" unbalanced="0"/>
    <cacheHierarchy uniqueName="[buses].[Capacity]" caption="Capacity" attribute="1" defaultMemberUniqueName="[buses].[Capacity].[All]" allUniqueName="[buses].[Capacity].[All]" dimensionUniqueName="[buses]" displayFolder="" count="0" memberValueDatatype="20" unbalanced="0"/>
    <cacheHierarchy uniqueName="[Calculations].[Calculations]" caption="Calculations" attribute="1" defaultMemberUniqueName="[Calculations].[Calculations].[All]" allUniqueName="[Calculations].[Calculations].[All]" dimensionUniqueName="[Calculations]" displayFolder="" count="0" memberValueDatatype="130" unbalanced="0"/>
    <cacheHierarchy uniqueName="[date].[Date]" caption="Date" attribute="1" time="1" defaultMemberUniqueName="[date].[Date].[All]" allUniqueName="[date].[Dat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Month Name]" caption="Month Name" attribute="1" defaultMemberUniqueName="[date].[Month Name].[All]" allUniqueName="[date].[Month Name].[All]" dimensionUniqueName="[date]" displayFolder="" count="0" memberValueDatatype="130" unbalanced="0"/>
    <cacheHierarchy uniqueName="[date].[Month Number]" caption="Month Number" attribute="1" defaultMemberUniqueName="[date].[Month Number].[All]" allUniqueName="[date].[Month Number].[All]" dimensionUniqueName="[date]" displayFolder="" count="0" memberValueDatatype="20" unbalanced="0"/>
    <cacheHierarchy uniqueName="[date].[Day Name]" caption="Day Name" attribute="1" defaultMemberUniqueName="[date].[Day Name].[All]" allUniqueName="[date].[Day Name].[All]" dimensionUniqueName="[date]" displayFolder="" count="0" memberValueDatatype="130" unbalanced="0"/>
    <cacheHierarchy uniqueName="[date].[Day of Week]" caption="Day of Week" attribute="1" defaultMemberUniqueName="[date].[Day of Week].[All]" allUniqueName="[date].[Day of Week].[All]" dimensionUniqueName="[date]" displayFolder="" count="0" memberValueDatatype="20" unbalanced="0"/>
    <cacheHierarchy uniqueName="[date].[WeekType]" caption="WeekType" attribute="1" defaultMemberUniqueName="[date].[WeekType].[All]" allUniqueName="[date].[WeekType].[All]" dimensionUniqueName="[date]" displayFolder="" count="0" memberValueDatatype="130" unbalanced="0"/>
    <cacheHierarchy uniqueName="[demographics].[RiderID]" caption="RiderID" attribute="1" defaultMemberUniqueName="[demographics].[RiderID].[All]" allUniqueName="[demographics].[RiderID].[All]" dimensionUniqueName="[demographics]" displayFolder="" count="0" memberValueDatatype="20" unbalanced="0"/>
    <cacheHierarchy uniqueName="[demographics].[Age]" caption="Age" attribute="1" defaultMemberUniqueName="[demographics].[Age].[All]" allUniqueName="[demographics].[Age].[All]" dimensionUniqueName="[demographics]" displayFolder="" count="0" memberValueDatatype="20" unbalanced="0"/>
    <cacheHierarchy uniqueName="[demographics].[Gender]" caption="Gender" attribute="1" defaultMemberUniqueName="[demographics].[Gender].[All]" allUniqueName="[demographics].[Gender].[All]" dimensionUniqueName="[demographics]" displayFolder="" count="0" memberValueDatatype="130" unbalanced="0"/>
    <cacheHierarchy uniqueName="[demographics].[Occupation]" caption="Occupation" attribute="1" defaultMemberUniqueName="[demographics].[Occupation].[All]" allUniqueName="[demographics].[Occupation].[All]" dimensionUniqueName="[demographics]" displayFolder="" count="0" memberValueDatatype="130" unbalanced="0"/>
    <cacheHierarchy uniqueName="[demographics].[AgeBracket]" caption="AgeBracket" attribute="1" defaultMemberUniqueName="[demographics].[AgeBracket].[All]" allUniqueName="[demographics].[AgeBracket].[All]" dimensionUniqueName="[demographics]" displayFolder="" count="0" memberValueDatatype="130" unbalanced="0"/>
    <cacheHierarchy uniqueName="[factable].[RecordID]" caption="RecordID" attribute="1" defaultMemberUniqueName="[factable].[RecordID].[All]" allUniqueName="[factable].[RecordID].[All]" dimensionUniqueName="[factable]" displayFolder="" count="0" memberValueDatatype="20" unbalanced="0"/>
    <cacheHierarchy uniqueName="[factable].[BusID]" caption="BusID" attribute="1" defaultMemberUniqueName="[factable].[BusID].[All]" allUniqueName="[factable].[BusID].[All]" dimensionUniqueName="[factable]" displayFolder="" count="0" memberValueDatatype="20" unbalanced="0"/>
    <cacheHierarchy uniqueName="[factable].[Date]" caption="Date" attribute="1" time="1" defaultMemberUniqueName="[factable].[Date].[All]" allUniqueName="[factable].[Date].[All]" dimensionUniqueName="[factable]" displayFolder="" count="0" memberValueDatatype="7" unbalanced="0"/>
    <cacheHierarchy uniqueName="[factable].[Time]" caption="Time" attribute="1" time="1" defaultMemberUniqueName="[factable].[Time].[All]" allUniqueName="[factable].[Time].[All]" dimensionUniqueName="[factable]" displayFolder="" count="2" memberValueDatatype="7" unbalanced="0">
      <fieldsUsage count="2">
        <fieldUsage x="-1"/>
        <fieldUsage x="1"/>
      </fieldsUsage>
    </cacheHierarchy>
    <cacheHierarchy uniqueName="[factable].[Operation Moment]" caption="Operation Moment" attribute="1" defaultMemberUniqueName="[factable].[Operation Moment].[All]" allUniqueName="[factable].[Operation Moment].[All]" dimensionUniqueName="[factable]" displayFolder="" count="2" memberValueDatatype="130" unbalanced="0">
      <fieldsUsage count="2">
        <fieldUsage x="-1"/>
        <fieldUsage x="3"/>
      </fieldsUsage>
    </cacheHierarchy>
    <cacheHierarchy uniqueName="[factable].[NumberOfRiders]" caption="NumberOfRiders" attribute="1" defaultMemberUniqueName="[factable].[NumberOfRiders].[All]" allUniqueName="[factable].[NumberOfRiders].[All]" dimensionUniqueName="[factable]" displayFolder="" count="0" memberValueDatatype="20" unbalanced="0"/>
    <cacheHierarchy uniqueName="[factable].[RiderID]" caption="RiderID" attribute="1" defaultMemberUniqueName="[factable].[RiderID].[All]" allUniqueName="[factable].[RiderID].[All]" dimensionUniqueName="[factable]" displayFolder="" count="0" memberValueDatatype="20" unbalanced="0"/>
    <cacheHierarchy uniqueName="[factable].[Time Segmentation]" caption="Time Segmentation" attribute="1" defaultMemberUniqueName="[factable].[Time Segmentation].[All]" allUniqueName="[factable].[Time Segmentation].[All]" dimensionUniqueName="[factable]" displayFolder="" count="0" memberValueDatatype="130" unbalanced="0"/>
    <cacheHierarchy uniqueName="[factable].[Capacity]" caption="Capacity" attribute="1" defaultMemberUniqueName="[factable].[Capacity].[All]" allUniqueName="[factable].[Capacity].[All]" dimensionUniqueName="[factable]" displayFolder="" count="0" memberValueDatatype="20" unbalanced="0"/>
    <cacheHierarchy uniqueName="[factable].[Utilization Percentage]" caption="Utilization Percentage" attribute="1" defaultMemberUniqueName="[factable].[Utilization Percentage].[All]" allUniqueName="[factable].[Utilization Percentage].[All]" dimensionUniqueName="[factable]" displayFolder="" count="0" memberValueDatatype="5" unbalanced="0"/>
    <cacheHierarchy uniqueName="[factable].[Utilization Criterion]" caption="Utilization Criterion" attribute="1" defaultMemberUniqueName="[factable].[Utilization Criterion].[All]" allUniqueName="[factable].[Utilization Criterion].[All]" dimensionUniqueName="[factable]" displayFolder="" count="0" memberValueDatatype="130" unbalanced="0"/>
    <cacheHierarchy uniqueName="[factable].[Time (Hour)]" caption="Time (Hour)" attribute="1" defaultMemberUniqueName="[factable].[Time (Hour)].[All]" allUniqueName="[factable].[Time (Hour)].[All]" dimensionUniqueName="[factable]" displayFolder="" count="0" memberValueDatatype="130" unbalanced="0"/>
    <cacheHierarchy uniqueName="[factable].[Time (Minute)]" caption="Time (Minute)" attribute="1" defaultMemberUniqueName="[factable].[Time (Minute)].[All]" allUniqueName="[factable].[Time (Minute)].[All]" dimensionUniqueName="[factable]" displayFolder="" count="0" memberValueDatatype="130" unbalanced="0"/>
    <cacheHierarchy uniqueName="[routes].[RouteID]" caption="RouteID" attribute="1" defaultMemberUniqueName="[routes].[RouteID].[All]" allUniqueName="[routes].[RouteID].[All]" dimensionUniqueName="[routes]" displayFolder="" count="0" memberValueDatatype="20" unbalanced="0"/>
    <cacheHierarchy uniqueName="[routes].[RouteName]" caption="RouteName" attribute="1" defaultMemberUniqueName="[routes].[RouteName].[All]" allUniqueName="[routes].[RouteName].[All]" dimensionUniqueName="[routes]" displayFolder="" count="2" memberValueDatatype="130" unbalanced="0">
      <fieldsUsage count="2">
        <fieldUsage x="-1"/>
        <fieldUsage x="0"/>
      </fieldsUsage>
    </cacheHierarchy>
    <cacheHierarchy uniqueName="[routes].[StartLocation]" caption="StartLocation" attribute="1" defaultMemberUniqueName="[routes].[StartLocation].[All]" allUniqueName="[routes].[StartLocation].[All]" dimensionUniqueName="[routes]" displayFolder="" count="0" memberValueDatatype="130" unbalanced="0"/>
    <cacheHierarchy uniqueName="[routes].[EndLocation]" caption="EndLocation" attribute="1" defaultMemberUniqueName="[routes].[EndLocation].[All]" allUniqueName="[routes].[EndLocation].[All]" dimensionUniqueName="[routes]" displayFolder="" count="0" memberValueDatatype="130" unbalanced="0"/>
    <cacheHierarchy uniqueName="[routes].[TripFee]" caption="TripFee" attribute="1" defaultMemberUniqueName="[routes].[TripFee].[All]" allUniqueName="[routes].[TripFee].[All]" dimensionUniqueName="[routes]" displayFolder="" count="0" memberValueDatatype="20" unbalanced="0"/>
    <cacheHierarchy uniqueName="[routes].[TakeOffTime]" caption="TakeOffTime" attribute="1" time="1" defaultMemberUniqueName="[routes].[TakeOffTime].[All]" allUniqueName="[routes].[TakeOffTime].[All]" dimensionUniqueName="[routes]" displayFolder="" count="0" memberValueDatatype="7" unbalanced="0"/>
    <cacheHierarchy uniqueName="[routes].[ArrivalTime]" caption="ArrivalTime" attribute="1" time="1" defaultMemberUniqueName="[routes].[ArrivalTime].[All]" allUniqueName="[routes].[ArrivalTime].[All]" dimensionUniqueName="[routes]" displayFolder="" count="0" memberValueDatatype="7" unbalanced="0"/>
    <cacheHierarchy uniqueName="[Measures].[Sum of Age]" caption="Sum of Age" measure="1" displayFolder="" measureGroup="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Age]" caption="Count of Age" measure="1" displayFolder="" measureGroup="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BusID]" caption="Sum of BusID" measure="1" displayFolder="" measureGroup="bus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BusID]" caption="Count of BusID" measure="1" displayFolder="" measureGroup="bus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iderID]" caption="Sum of RiderID" measure="1" displayFolder="" measureGroup="factable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RiderID]" caption="Count of RiderID" measure="1" displayFolder="" measureGroup="factable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NumberOfRiders]" caption="Sum of NumberOfRiders" measure="1" displayFolder="" measureGroup="factabl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Total Transaction]" caption="Total Transaction" measure="1" displayFolder="" measureGroup="Calculations" count="0"/>
    <cacheHierarchy uniqueName="[Measures].[Average Age]" caption="Average Age" measure="1" displayFolder="" measureGroup="Calculations" count="0"/>
    <cacheHierarchy uniqueName="[Measures].[Total Riders (Passengers)]" caption="Total Riders (Passengers)" measure="1" displayFolder="" measureGroup="Calculations" count="0" oneField="1">
      <fieldsUsage count="1">
        <fieldUsage x="2"/>
      </fieldsUsage>
    </cacheHierarchy>
    <cacheHierarchy uniqueName="[Measures].[Avg. Riders Per Trip]" caption="Avg. Riders Per Trip" measure="1" displayFolder="" measureGroup="Calculations" count="0"/>
    <cacheHierarchy uniqueName="[Measures].[Total Buses]" caption="Total Buses" measure="1" displayFolder="" measureGroup="Calculations" count="0"/>
    <cacheHierarchy uniqueName="[Measures].[__XL_Count buses]" caption="__XL_Count buses" measure="1" displayFolder="" measureGroup="buses" count="0" hidden="1"/>
    <cacheHierarchy uniqueName="[Measures].[__XL_Count demographics]" caption="__XL_Count demographics" measure="1" displayFolder="" measureGroup="demographics" count="0" hidden="1"/>
    <cacheHierarchy uniqueName="[Measures].[__XL_Count routes]" caption="__XL_Count routes" measure="1" displayFolder="" measureGroup="routes" count="0" hidden="1"/>
    <cacheHierarchy uniqueName="[Measures].[__XL_Count factable]" caption="__XL_Count factable" measure="1" displayFolder="" measureGroup="factable" count="0" hidden="1"/>
    <cacheHierarchy uniqueName="[Measures].[__XL_Count date]" caption="__XL_Count date" measure="1" displayFolder="" measureGroup="dat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buses" uniqueName="[buses]" caption="buses"/>
    <dimension name="Calculations" uniqueName="[Calculations]" caption="Calculations"/>
    <dimension name="date" uniqueName="[date]" caption="date"/>
    <dimension name="demographics" uniqueName="[demographics]" caption="demographics"/>
    <dimension name="factable" uniqueName="[factable]" caption="factable"/>
    <dimension measure="1" name="Measures" uniqueName="[Measures]" caption="Measures"/>
    <dimension name="routes" uniqueName="[routes]" caption="routes"/>
  </dimensions>
  <measureGroups count="6">
    <measureGroup name="buses" caption="buses"/>
    <measureGroup name="Calculations" caption="Calculations"/>
    <measureGroup name="date" caption="date"/>
    <measureGroup name="demographics" caption="demographics"/>
    <measureGroup name="factable" caption="factable"/>
    <measureGroup name="routes" caption="routes"/>
  </measureGroups>
  <maps count="11">
    <map measureGroup="0" dimension="0"/>
    <map measureGroup="0" dimension="6"/>
    <map measureGroup="1" dimension="1"/>
    <map measureGroup="2" dimension="2"/>
    <map measureGroup="3" dimension="3"/>
    <map measureGroup="4" dimension="0"/>
    <map measureGroup="4" dimension="2"/>
    <map measureGroup="4" dimension="3"/>
    <map measureGroup="4" dimension="4"/>
    <map measureGroup="4" dimension="6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904.507597685188" createdVersion="5" refreshedVersion="8" minRefreshableVersion="3" recordCount="0" supportSubquery="1" supportAdvancedDrill="1" xr:uid="{C5EF2620-9B67-45C4-922C-F5116BF0BA63}">
  <cacheSource type="external" connectionId="7"/>
  <cacheFields count="4">
    <cacheField name="[routes].[RouteName].[RouteName]" caption="RouteName" numFmtId="0" hierarchy="31" level="1">
      <sharedItems count="1">
        <s v="East-West Express"/>
      </sharedItems>
    </cacheField>
    <cacheField name="[factable].[Time].[Time]" caption="Time" numFmtId="0" hierarchy="20" level="1">
      <sharedItems containsSemiMixedTypes="0" containsNonDate="0" containsDate="1" containsString="0" minDate="1899-12-30T12:34:00" maxDate="1899-12-30T12:34:00" count="1">
        <d v="1899-12-30T12:34:00"/>
      </sharedItems>
      <extLst>
        <ext xmlns:x15="http://schemas.microsoft.com/office/spreadsheetml/2010/11/main" uri="{4F2E5C28-24EA-4eb8-9CBF-B6C8F9C3D259}">
          <x15:cachedUniqueNames>
            <x15:cachedUniqueName index="0" name="[factable].[Time].&amp;[1899-12-30T12:34:00]"/>
          </x15:cachedUniqueNames>
        </ext>
      </extLst>
    </cacheField>
    <cacheField name="[factable].[Utilization Criterion].[Utilization Criterion]" caption="Utilization Criterion" numFmtId="0" hierarchy="27" level="1">
      <sharedItems count="3">
        <s v="Over-Utilized"/>
        <s v="Under-Utilized"/>
        <s v="Well-Utilized"/>
      </sharedItems>
    </cacheField>
    <cacheField name="[Measures].[Total Buses]" caption="Total Buses" numFmtId="0" hierarchy="48" level="32767"/>
  </cacheFields>
  <cacheHierarchies count="56">
    <cacheHierarchy uniqueName="[buses].[BusID]" caption="BusID" attribute="1" defaultMemberUniqueName="[buses].[BusID].[All]" allUniqueName="[buses].[BusID].[All]" dimensionUniqueName="[buses]" displayFolder="" count="0" memberValueDatatype="20" unbalanced="0"/>
    <cacheHierarchy uniqueName="[buses].[RouteID]" caption="RouteID" attribute="1" defaultMemberUniqueName="[buses].[RouteID].[All]" allUniqueName="[buses].[RouteID].[All]" dimensionUniqueName="[buses]" displayFolder="" count="0" memberValueDatatype="20" unbalanced="0"/>
    <cacheHierarchy uniqueName="[buses].[BusNumber]" caption="BusNumber" attribute="1" defaultMemberUniqueName="[buses].[BusNumber].[All]" allUniqueName="[buses].[BusNumber].[All]" dimensionUniqueName="[buses]" displayFolder="" count="0" memberValueDatatype="130" unbalanced="0"/>
    <cacheHierarchy uniqueName="[buses].[Capacity]" caption="Capacity" attribute="1" defaultMemberUniqueName="[buses].[Capacity].[All]" allUniqueName="[buses].[Capacity].[All]" dimensionUniqueName="[buses]" displayFolder="" count="0" memberValueDatatype="20" unbalanced="0"/>
    <cacheHierarchy uniqueName="[Calculations].[Calculations]" caption="Calculations" attribute="1" defaultMemberUniqueName="[Calculations].[Calculations].[All]" allUniqueName="[Calculations].[Calculations].[All]" dimensionUniqueName="[Calculations]" displayFolder="" count="0" memberValueDatatype="130" unbalanced="0"/>
    <cacheHierarchy uniqueName="[date].[Date]" caption="Date" attribute="1" time="1" defaultMemberUniqueName="[date].[Date].[All]" allUniqueName="[date].[Dat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Month Name]" caption="Month Name" attribute="1" defaultMemberUniqueName="[date].[Month Name].[All]" allUniqueName="[date].[Month Name].[All]" dimensionUniqueName="[date]" displayFolder="" count="0" memberValueDatatype="130" unbalanced="0"/>
    <cacheHierarchy uniqueName="[date].[Month Number]" caption="Month Number" attribute="1" defaultMemberUniqueName="[date].[Month Number].[All]" allUniqueName="[date].[Month Number].[All]" dimensionUniqueName="[date]" displayFolder="" count="0" memberValueDatatype="20" unbalanced="0"/>
    <cacheHierarchy uniqueName="[date].[Day Name]" caption="Day Name" attribute="1" defaultMemberUniqueName="[date].[Day Name].[All]" allUniqueName="[date].[Day Name].[All]" dimensionUniqueName="[date]" displayFolder="" count="0" memberValueDatatype="130" unbalanced="0"/>
    <cacheHierarchy uniqueName="[date].[Day of Week]" caption="Day of Week" attribute="1" defaultMemberUniqueName="[date].[Day of Week].[All]" allUniqueName="[date].[Day of Week].[All]" dimensionUniqueName="[date]" displayFolder="" count="0" memberValueDatatype="20" unbalanced="0"/>
    <cacheHierarchy uniqueName="[date].[WeekType]" caption="WeekType" attribute="1" defaultMemberUniqueName="[date].[WeekType].[All]" allUniqueName="[date].[WeekType].[All]" dimensionUniqueName="[date]" displayFolder="" count="0" memberValueDatatype="130" unbalanced="0"/>
    <cacheHierarchy uniqueName="[demographics].[RiderID]" caption="RiderID" attribute="1" defaultMemberUniqueName="[demographics].[RiderID].[All]" allUniqueName="[demographics].[RiderID].[All]" dimensionUniqueName="[demographics]" displayFolder="" count="0" memberValueDatatype="20" unbalanced="0"/>
    <cacheHierarchy uniqueName="[demographics].[Age]" caption="Age" attribute="1" defaultMemberUniqueName="[demographics].[Age].[All]" allUniqueName="[demographics].[Age].[All]" dimensionUniqueName="[demographics]" displayFolder="" count="0" memberValueDatatype="20" unbalanced="0"/>
    <cacheHierarchy uniqueName="[demographics].[Gender]" caption="Gender" attribute="1" defaultMemberUniqueName="[demographics].[Gender].[All]" allUniqueName="[demographics].[Gender].[All]" dimensionUniqueName="[demographics]" displayFolder="" count="0" memberValueDatatype="130" unbalanced="0"/>
    <cacheHierarchy uniqueName="[demographics].[Occupation]" caption="Occupation" attribute="1" defaultMemberUniqueName="[demographics].[Occupation].[All]" allUniqueName="[demographics].[Occupation].[All]" dimensionUniqueName="[demographics]" displayFolder="" count="0" memberValueDatatype="130" unbalanced="0"/>
    <cacheHierarchy uniqueName="[demographics].[AgeBracket]" caption="AgeBracket" attribute="1" defaultMemberUniqueName="[demographics].[AgeBracket].[All]" allUniqueName="[demographics].[AgeBracket].[All]" dimensionUniqueName="[demographics]" displayFolder="" count="0" memberValueDatatype="130" unbalanced="0"/>
    <cacheHierarchy uniqueName="[factable].[RecordID]" caption="RecordID" attribute="1" defaultMemberUniqueName="[factable].[RecordID].[All]" allUniqueName="[factable].[RecordID].[All]" dimensionUniqueName="[factable]" displayFolder="" count="0" memberValueDatatype="20" unbalanced="0"/>
    <cacheHierarchy uniqueName="[factable].[BusID]" caption="BusID" attribute="1" defaultMemberUniqueName="[factable].[BusID].[All]" allUniqueName="[factable].[BusID].[All]" dimensionUniqueName="[factable]" displayFolder="" count="0" memberValueDatatype="20" unbalanced="0"/>
    <cacheHierarchy uniqueName="[factable].[Date]" caption="Date" attribute="1" time="1" defaultMemberUniqueName="[factable].[Date].[All]" allUniqueName="[factable].[Date].[All]" dimensionUniqueName="[factable]" displayFolder="" count="0" memberValueDatatype="7" unbalanced="0"/>
    <cacheHierarchy uniqueName="[factable].[Time]" caption="Time" attribute="1" time="1" defaultMemberUniqueName="[factable].[Time].[All]" allUniqueName="[factable].[Time].[All]" dimensionUniqueName="[factable]" displayFolder="" count="2" memberValueDatatype="7" unbalanced="0">
      <fieldsUsage count="2">
        <fieldUsage x="-1"/>
        <fieldUsage x="1"/>
      </fieldsUsage>
    </cacheHierarchy>
    <cacheHierarchy uniqueName="[factable].[Operation Moment]" caption="Operation Moment" attribute="1" defaultMemberUniqueName="[factable].[Operation Moment].[All]" allUniqueName="[factable].[Operation Moment].[All]" dimensionUniqueName="[factable]" displayFolder="" count="0" memberValueDatatype="130" unbalanced="0"/>
    <cacheHierarchy uniqueName="[factable].[NumberOfRiders]" caption="NumberOfRiders" attribute="1" defaultMemberUniqueName="[factable].[NumberOfRiders].[All]" allUniqueName="[factable].[NumberOfRiders].[All]" dimensionUniqueName="[factable]" displayFolder="" count="0" memberValueDatatype="20" unbalanced="0"/>
    <cacheHierarchy uniqueName="[factable].[RiderID]" caption="RiderID" attribute="1" defaultMemberUniqueName="[factable].[RiderID].[All]" allUniqueName="[factable].[RiderID].[All]" dimensionUniqueName="[factable]" displayFolder="" count="0" memberValueDatatype="20" unbalanced="0"/>
    <cacheHierarchy uniqueName="[factable].[Time Segmentation]" caption="Time Segmentation" attribute="1" defaultMemberUniqueName="[factable].[Time Segmentation].[All]" allUniqueName="[factable].[Time Segmentation].[All]" dimensionUniqueName="[factable]" displayFolder="" count="0" memberValueDatatype="130" unbalanced="0"/>
    <cacheHierarchy uniqueName="[factable].[Capacity]" caption="Capacity" attribute="1" defaultMemberUniqueName="[factable].[Capacity].[All]" allUniqueName="[factable].[Capacity].[All]" dimensionUniqueName="[factable]" displayFolder="" count="0" memberValueDatatype="20" unbalanced="0"/>
    <cacheHierarchy uniqueName="[factable].[Utilization Percentage]" caption="Utilization Percentage" attribute="1" defaultMemberUniqueName="[factable].[Utilization Percentage].[All]" allUniqueName="[factable].[Utilization Percentage].[All]" dimensionUniqueName="[factable]" displayFolder="" count="0" memberValueDatatype="5" unbalanced="0"/>
    <cacheHierarchy uniqueName="[factable].[Utilization Criterion]" caption="Utilization Criterion" attribute="1" defaultMemberUniqueName="[factable].[Utilization Criterion].[All]" allUniqueName="[factable].[Utilization Criterion].[All]" dimensionUniqueName="[factable]" displayFolder="" count="2" memberValueDatatype="130" unbalanced="0">
      <fieldsUsage count="2">
        <fieldUsage x="-1"/>
        <fieldUsage x="2"/>
      </fieldsUsage>
    </cacheHierarchy>
    <cacheHierarchy uniqueName="[factable].[Time (Hour)]" caption="Time (Hour)" attribute="1" defaultMemberUniqueName="[factable].[Time (Hour)].[All]" allUniqueName="[factable].[Time (Hour)].[All]" dimensionUniqueName="[factable]" displayFolder="" count="0" memberValueDatatype="130" unbalanced="0"/>
    <cacheHierarchy uniqueName="[factable].[Time (Minute)]" caption="Time (Minute)" attribute="1" defaultMemberUniqueName="[factable].[Time (Minute)].[All]" allUniqueName="[factable].[Time (Minute)].[All]" dimensionUniqueName="[factable]" displayFolder="" count="0" memberValueDatatype="130" unbalanced="0"/>
    <cacheHierarchy uniqueName="[routes].[RouteID]" caption="RouteID" attribute="1" defaultMemberUniqueName="[routes].[RouteID].[All]" allUniqueName="[routes].[RouteID].[All]" dimensionUniqueName="[routes]" displayFolder="" count="0" memberValueDatatype="20" unbalanced="0"/>
    <cacheHierarchy uniqueName="[routes].[RouteName]" caption="RouteName" attribute="1" defaultMemberUniqueName="[routes].[RouteName].[All]" allUniqueName="[routes].[RouteName].[All]" dimensionUniqueName="[routes]" displayFolder="" count="2" memberValueDatatype="130" unbalanced="0">
      <fieldsUsage count="2">
        <fieldUsage x="-1"/>
        <fieldUsage x="0"/>
      </fieldsUsage>
    </cacheHierarchy>
    <cacheHierarchy uniqueName="[routes].[StartLocation]" caption="StartLocation" attribute="1" defaultMemberUniqueName="[routes].[StartLocation].[All]" allUniqueName="[routes].[StartLocation].[All]" dimensionUniqueName="[routes]" displayFolder="" count="0" memberValueDatatype="130" unbalanced="0"/>
    <cacheHierarchy uniqueName="[routes].[EndLocation]" caption="EndLocation" attribute="1" defaultMemberUniqueName="[routes].[EndLocation].[All]" allUniqueName="[routes].[EndLocation].[All]" dimensionUniqueName="[routes]" displayFolder="" count="0" memberValueDatatype="130" unbalanced="0"/>
    <cacheHierarchy uniqueName="[routes].[TripFee]" caption="TripFee" attribute="1" defaultMemberUniqueName="[routes].[TripFee].[All]" allUniqueName="[routes].[TripFee].[All]" dimensionUniqueName="[routes]" displayFolder="" count="0" memberValueDatatype="20" unbalanced="0"/>
    <cacheHierarchy uniqueName="[routes].[TakeOffTime]" caption="TakeOffTime" attribute="1" time="1" defaultMemberUniqueName="[routes].[TakeOffTime].[All]" allUniqueName="[routes].[TakeOffTime].[All]" dimensionUniqueName="[routes]" displayFolder="" count="0" memberValueDatatype="7" unbalanced="0"/>
    <cacheHierarchy uniqueName="[routes].[ArrivalTime]" caption="ArrivalTime" attribute="1" time="1" defaultMemberUniqueName="[routes].[ArrivalTime].[All]" allUniqueName="[routes].[ArrivalTime].[All]" dimensionUniqueName="[routes]" displayFolder="" count="0" memberValueDatatype="7" unbalanced="0"/>
    <cacheHierarchy uniqueName="[Measures].[Sum of Age]" caption="Sum of Age" measure="1" displayFolder="" measureGroup="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Age]" caption="Count of Age" measure="1" displayFolder="" measureGroup="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BusID]" caption="Sum of BusID" measure="1" displayFolder="" measureGroup="bus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BusID]" caption="Count of BusID" measure="1" displayFolder="" measureGroup="bus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iderID]" caption="Sum of RiderID" measure="1" displayFolder="" measureGroup="factable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RiderID]" caption="Count of RiderID" measure="1" displayFolder="" measureGroup="factable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NumberOfRiders]" caption="Sum of NumberOfRiders" measure="1" displayFolder="" measureGroup="factabl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Total Transaction]" caption="Total Transaction" measure="1" displayFolder="" measureGroup="Calculations" count="0"/>
    <cacheHierarchy uniqueName="[Measures].[Average Age]" caption="Average Age" measure="1" displayFolder="" measureGroup="Calculations" count="0"/>
    <cacheHierarchy uniqueName="[Measures].[Total Riders (Passengers)]" caption="Total Riders (Passengers)" measure="1" displayFolder="" measureGroup="Calculations" count="0"/>
    <cacheHierarchy uniqueName="[Measures].[Avg. Riders Per Trip]" caption="Avg. Riders Per Trip" measure="1" displayFolder="" measureGroup="Calculations" count="0"/>
    <cacheHierarchy uniqueName="[Measures].[Total Buses]" caption="Total Buses" measure="1" displayFolder="" measureGroup="Calculations" count="0" oneField="1">
      <fieldsUsage count="1">
        <fieldUsage x="3"/>
      </fieldsUsage>
    </cacheHierarchy>
    <cacheHierarchy uniqueName="[Measures].[__XL_Count buses]" caption="__XL_Count buses" measure="1" displayFolder="" measureGroup="buses" count="0" hidden="1"/>
    <cacheHierarchy uniqueName="[Measures].[__XL_Count demographics]" caption="__XL_Count demographics" measure="1" displayFolder="" measureGroup="demographics" count="0" hidden="1"/>
    <cacheHierarchy uniqueName="[Measures].[__XL_Count routes]" caption="__XL_Count routes" measure="1" displayFolder="" measureGroup="routes" count="0" hidden="1"/>
    <cacheHierarchy uniqueName="[Measures].[__XL_Count factable]" caption="__XL_Count factable" measure="1" displayFolder="" measureGroup="factable" count="0" hidden="1"/>
    <cacheHierarchy uniqueName="[Measures].[__XL_Count date]" caption="__XL_Count date" measure="1" displayFolder="" measureGroup="dat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buses" uniqueName="[buses]" caption="buses"/>
    <dimension name="Calculations" uniqueName="[Calculations]" caption="Calculations"/>
    <dimension name="date" uniqueName="[date]" caption="date"/>
    <dimension name="demographics" uniqueName="[demographics]" caption="demographics"/>
    <dimension name="factable" uniqueName="[factable]" caption="factable"/>
    <dimension measure="1" name="Measures" uniqueName="[Measures]" caption="Measures"/>
    <dimension name="routes" uniqueName="[routes]" caption="routes"/>
  </dimensions>
  <measureGroups count="6">
    <measureGroup name="buses" caption="buses"/>
    <measureGroup name="Calculations" caption="Calculations"/>
    <measureGroup name="date" caption="date"/>
    <measureGroup name="demographics" caption="demographics"/>
    <measureGroup name="factable" caption="factable"/>
    <measureGroup name="routes" caption="routes"/>
  </measureGroups>
  <maps count="11">
    <map measureGroup="0" dimension="0"/>
    <map measureGroup="0" dimension="6"/>
    <map measureGroup="1" dimension="1"/>
    <map measureGroup="2" dimension="2"/>
    <map measureGroup="3" dimension="3"/>
    <map measureGroup="4" dimension="0"/>
    <map measureGroup="4" dimension="2"/>
    <map measureGroup="4" dimension="3"/>
    <map measureGroup="4" dimension="4"/>
    <map measureGroup="4" dimension="6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904.507598958335" createdVersion="5" refreshedVersion="8" minRefreshableVersion="3" recordCount="0" supportSubquery="1" supportAdvancedDrill="1" xr:uid="{CBD9278D-A62F-4735-9E2E-ACD16489309D}">
  <cacheSource type="external" connectionId="7"/>
  <cacheFields count="5">
    <cacheField name="[Measures].[Total Riders (Passengers)]" caption="Total Riders (Passengers)" numFmtId="0" hierarchy="46" level="32767"/>
    <cacheField name="[routes].[RouteName].[RouteName]" caption="RouteName" numFmtId="0" hierarchy="31" level="1">
      <sharedItems count="1">
        <s v="East-West Express"/>
      </sharedItems>
    </cacheField>
    <cacheField name="[factable].[Time Segmentation].[Time Segmentation]" caption="Time Segmentation" numFmtId="0" hierarchy="24" level="1">
      <sharedItems count="4">
        <s v="1:00 AM - 4:00 AM"/>
        <s v="10:00 AM - 1:00 PM"/>
        <s v="4:00 AM - 7:00 AM"/>
        <s v="7:00 AM - 10:00 AM"/>
      </sharedItems>
    </cacheField>
    <cacheField name="[factable].[Time].[Time]" caption="Time" numFmtId="0" hierarchy="20" level="1">
      <sharedItems containsSemiMixedTypes="0" containsNonDate="0" containsDate="1" containsString="0" minDate="1899-12-30T12:34:00" maxDate="1899-12-30T12:34:00" count="1">
        <d v="1899-12-30T12:34:00"/>
      </sharedItems>
      <extLst>
        <ext xmlns:x15="http://schemas.microsoft.com/office/spreadsheetml/2010/11/main" uri="{4F2E5C28-24EA-4eb8-9CBF-B6C8F9C3D259}">
          <x15:cachedUniqueNames>
            <x15:cachedUniqueName index="0" name="[factable].[Time].&amp;[1899-12-30T12:34:00]"/>
          </x15:cachedUniqueNames>
        </ext>
      </extLst>
    </cacheField>
    <cacheField name="[date].[Month Name].[Month Name]" caption="Month Name" numFmtId="0" hierarchy="7" level="1">
      <sharedItems count="2">
        <s v="Jan"/>
        <s v="Dec"/>
      </sharedItems>
    </cacheField>
  </cacheFields>
  <cacheHierarchies count="56">
    <cacheHierarchy uniqueName="[buses].[BusID]" caption="BusID" attribute="1" defaultMemberUniqueName="[buses].[BusID].[All]" allUniqueName="[buses].[BusID].[All]" dimensionUniqueName="[buses]" displayFolder="" count="0" memberValueDatatype="20" unbalanced="0"/>
    <cacheHierarchy uniqueName="[buses].[RouteID]" caption="RouteID" attribute="1" defaultMemberUniqueName="[buses].[RouteID].[All]" allUniqueName="[buses].[RouteID].[All]" dimensionUniqueName="[buses]" displayFolder="" count="0" memberValueDatatype="20" unbalanced="0"/>
    <cacheHierarchy uniqueName="[buses].[BusNumber]" caption="BusNumber" attribute="1" defaultMemberUniqueName="[buses].[BusNumber].[All]" allUniqueName="[buses].[BusNumber].[All]" dimensionUniqueName="[buses]" displayFolder="" count="0" memberValueDatatype="130" unbalanced="0"/>
    <cacheHierarchy uniqueName="[buses].[Capacity]" caption="Capacity" attribute="1" defaultMemberUniqueName="[buses].[Capacity].[All]" allUniqueName="[buses].[Capacity].[All]" dimensionUniqueName="[buses]" displayFolder="" count="0" memberValueDatatype="20" unbalanced="0"/>
    <cacheHierarchy uniqueName="[Calculations].[Calculations]" caption="Calculations" attribute="1" defaultMemberUniqueName="[Calculations].[Calculations].[All]" allUniqueName="[Calculations].[Calculations].[All]" dimensionUniqueName="[Calculations]" displayFolder="" count="0" memberValueDatatype="130" unbalanced="0"/>
    <cacheHierarchy uniqueName="[date].[Date]" caption="Date" attribute="1" time="1" defaultMemberUniqueName="[date].[Date].[All]" allUniqueName="[date].[Dat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Month Name]" caption="Month Name" attribute="1" defaultMemberUniqueName="[date].[Month Name].[All]" allUniqueName="[date].[Month Name].[All]" dimensionUniqueName="[date]" displayFolder="" count="2" memberValueDatatype="130" unbalanced="0">
      <fieldsUsage count="2">
        <fieldUsage x="-1"/>
        <fieldUsage x="4"/>
      </fieldsUsage>
    </cacheHierarchy>
    <cacheHierarchy uniqueName="[date].[Month Number]" caption="Month Number" attribute="1" defaultMemberUniqueName="[date].[Month Number].[All]" allUniqueName="[date].[Month Number].[All]" dimensionUniqueName="[date]" displayFolder="" count="0" memberValueDatatype="20" unbalanced="0"/>
    <cacheHierarchy uniqueName="[date].[Day Name]" caption="Day Name" attribute="1" defaultMemberUniqueName="[date].[Day Name].[All]" allUniqueName="[date].[Day Name].[All]" dimensionUniqueName="[date]" displayFolder="" count="0" memberValueDatatype="130" unbalanced="0"/>
    <cacheHierarchy uniqueName="[date].[Day of Week]" caption="Day of Week" attribute="1" defaultMemberUniqueName="[date].[Day of Week].[All]" allUniqueName="[date].[Day of Week].[All]" dimensionUniqueName="[date]" displayFolder="" count="0" memberValueDatatype="20" unbalanced="0"/>
    <cacheHierarchy uniqueName="[date].[WeekType]" caption="WeekType" attribute="1" defaultMemberUniqueName="[date].[WeekType].[All]" allUniqueName="[date].[WeekType].[All]" dimensionUniqueName="[date]" displayFolder="" count="0" memberValueDatatype="130" unbalanced="0"/>
    <cacheHierarchy uniqueName="[demographics].[RiderID]" caption="RiderID" attribute="1" defaultMemberUniqueName="[demographics].[RiderID].[All]" allUniqueName="[demographics].[RiderID].[All]" dimensionUniqueName="[demographics]" displayFolder="" count="0" memberValueDatatype="20" unbalanced="0"/>
    <cacheHierarchy uniqueName="[demographics].[Age]" caption="Age" attribute="1" defaultMemberUniqueName="[demographics].[Age].[All]" allUniqueName="[demographics].[Age].[All]" dimensionUniqueName="[demographics]" displayFolder="" count="0" memberValueDatatype="20" unbalanced="0"/>
    <cacheHierarchy uniqueName="[demographics].[Gender]" caption="Gender" attribute="1" defaultMemberUniqueName="[demographics].[Gender].[All]" allUniqueName="[demographics].[Gender].[All]" dimensionUniqueName="[demographics]" displayFolder="" count="0" memberValueDatatype="130" unbalanced="0"/>
    <cacheHierarchy uniqueName="[demographics].[Occupation]" caption="Occupation" attribute="1" defaultMemberUniqueName="[demographics].[Occupation].[All]" allUniqueName="[demographics].[Occupation].[All]" dimensionUniqueName="[demographics]" displayFolder="" count="0" memberValueDatatype="130" unbalanced="0"/>
    <cacheHierarchy uniqueName="[demographics].[AgeBracket]" caption="AgeBracket" attribute="1" defaultMemberUniqueName="[demographics].[AgeBracket].[All]" allUniqueName="[demographics].[AgeBracket].[All]" dimensionUniqueName="[demographics]" displayFolder="" count="0" memberValueDatatype="130" unbalanced="0"/>
    <cacheHierarchy uniqueName="[factable].[RecordID]" caption="RecordID" attribute="1" defaultMemberUniqueName="[factable].[RecordID].[All]" allUniqueName="[factable].[RecordID].[All]" dimensionUniqueName="[factable]" displayFolder="" count="0" memberValueDatatype="20" unbalanced="0"/>
    <cacheHierarchy uniqueName="[factable].[BusID]" caption="BusID" attribute="1" defaultMemberUniqueName="[factable].[BusID].[All]" allUniqueName="[factable].[BusID].[All]" dimensionUniqueName="[factable]" displayFolder="" count="0" memberValueDatatype="20" unbalanced="0"/>
    <cacheHierarchy uniqueName="[factable].[Date]" caption="Date" attribute="1" time="1" defaultMemberUniqueName="[factable].[Date].[All]" allUniqueName="[factable].[Date].[All]" dimensionUniqueName="[factable]" displayFolder="" count="0" memberValueDatatype="7" unbalanced="0"/>
    <cacheHierarchy uniqueName="[factable].[Time]" caption="Time" attribute="1" time="1" defaultMemberUniqueName="[factable].[Time].[All]" allUniqueName="[factable].[Time].[All]" dimensionUniqueName="[factable]" displayFolder="" count="2" memberValueDatatype="7" unbalanced="0">
      <fieldsUsage count="2">
        <fieldUsage x="-1"/>
        <fieldUsage x="3"/>
      </fieldsUsage>
    </cacheHierarchy>
    <cacheHierarchy uniqueName="[factable].[Operation Moment]" caption="Operation Moment" attribute="1" defaultMemberUniqueName="[factable].[Operation Moment].[All]" allUniqueName="[factable].[Operation Moment].[All]" dimensionUniqueName="[factable]" displayFolder="" count="0" memberValueDatatype="130" unbalanced="0"/>
    <cacheHierarchy uniqueName="[factable].[NumberOfRiders]" caption="NumberOfRiders" attribute="1" defaultMemberUniqueName="[factable].[NumberOfRiders].[All]" allUniqueName="[factable].[NumberOfRiders].[All]" dimensionUniqueName="[factable]" displayFolder="" count="0" memberValueDatatype="20" unbalanced="0"/>
    <cacheHierarchy uniqueName="[factable].[RiderID]" caption="RiderID" attribute="1" defaultMemberUniqueName="[factable].[RiderID].[All]" allUniqueName="[factable].[RiderID].[All]" dimensionUniqueName="[factable]" displayFolder="" count="0" memberValueDatatype="20" unbalanced="0"/>
    <cacheHierarchy uniqueName="[factable].[Time Segmentation]" caption="Time Segmentation" attribute="1" defaultMemberUniqueName="[factable].[Time Segmentation].[All]" allUniqueName="[factable].[Time Segmentation].[All]" dimensionUniqueName="[factable]" displayFolder="" count="2" memberValueDatatype="130" unbalanced="0">
      <fieldsUsage count="2">
        <fieldUsage x="-1"/>
        <fieldUsage x="2"/>
      </fieldsUsage>
    </cacheHierarchy>
    <cacheHierarchy uniqueName="[factable].[Capacity]" caption="Capacity" attribute="1" defaultMemberUniqueName="[factable].[Capacity].[All]" allUniqueName="[factable].[Capacity].[All]" dimensionUniqueName="[factable]" displayFolder="" count="0" memberValueDatatype="20" unbalanced="0"/>
    <cacheHierarchy uniqueName="[factable].[Utilization Percentage]" caption="Utilization Percentage" attribute="1" defaultMemberUniqueName="[factable].[Utilization Percentage].[All]" allUniqueName="[factable].[Utilization Percentage].[All]" dimensionUniqueName="[factable]" displayFolder="" count="0" memberValueDatatype="5" unbalanced="0"/>
    <cacheHierarchy uniqueName="[factable].[Utilization Criterion]" caption="Utilization Criterion" attribute="1" defaultMemberUniqueName="[factable].[Utilization Criterion].[All]" allUniqueName="[factable].[Utilization Criterion].[All]" dimensionUniqueName="[factable]" displayFolder="" count="0" memberValueDatatype="130" unbalanced="0"/>
    <cacheHierarchy uniqueName="[factable].[Time (Hour)]" caption="Time (Hour)" attribute="1" defaultMemberUniqueName="[factable].[Time (Hour)].[All]" allUniqueName="[factable].[Time (Hour)].[All]" dimensionUniqueName="[factable]" displayFolder="" count="0" memberValueDatatype="130" unbalanced="0"/>
    <cacheHierarchy uniqueName="[factable].[Time (Minute)]" caption="Time (Minute)" attribute="1" defaultMemberUniqueName="[factable].[Time (Minute)].[All]" allUniqueName="[factable].[Time (Minute)].[All]" dimensionUniqueName="[factable]" displayFolder="" count="0" memberValueDatatype="130" unbalanced="0"/>
    <cacheHierarchy uniqueName="[routes].[RouteID]" caption="RouteID" attribute="1" defaultMemberUniqueName="[routes].[RouteID].[All]" allUniqueName="[routes].[RouteID].[All]" dimensionUniqueName="[routes]" displayFolder="" count="0" memberValueDatatype="20" unbalanced="0"/>
    <cacheHierarchy uniqueName="[routes].[RouteName]" caption="RouteName" attribute="1" defaultMemberUniqueName="[routes].[RouteName].[All]" allUniqueName="[routes].[RouteName].[All]" dimensionUniqueName="[routes]" displayFolder="" count="2" memberValueDatatype="130" unbalanced="0">
      <fieldsUsage count="2">
        <fieldUsage x="-1"/>
        <fieldUsage x="1"/>
      </fieldsUsage>
    </cacheHierarchy>
    <cacheHierarchy uniqueName="[routes].[StartLocation]" caption="StartLocation" attribute="1" defaultMemberUniqueName="[routes].[StartLocation].[All]" allUniqueName="[routes].[StartLocation].[All]" dimensionUniqueName="[routes]" displayFolder="" count="0" memberValueDatatype="130" unbalanced="0"/>
    <cacheHierarchy uniqueName="[routes].[EndLocation]" caption="EndLocation" attribute="1" defaultMemberUniqueName="[routes].[EndLocation].[All]" allUniqueName="[routes].[EndLocation].[All]" dimensionUniqueName="[routes]" displayFolder="" count="0" memberValueDatatype="130" unbalanced="0"/>
    <cacheHierarchy uniqueName="[routes].[TripFee]" caption="TripFee" attribute="1" defaultMemberUniqueName="[routes].[TripFee].[All]" allUniqueName="[routes].[TripFee].[All]" dimensionUniqueName="[routes]" displayFolder="" count="0" memberValueDatatype="20" unbalanced="0"/>
    <cacheHierarchy uniqueName="[routes].[TakeOffTime]" caption="TakeOffTime" attribute="1" time="1" defaultMemberUniqueName="[routes].[TakeOffTime].[All]" allUniqueName="[routes].[TakeOffTime].[All]" dimensionUniqueName="[routes]" displayFolder="" count="0" memberValueDatatype="7" unbalanced="0"/>
    <cacheHierarchy uniqueName="[routes].[ArrivalTime]" caption="ArrivalTime" attribute="1" time="1" defaultMemberUniqueName="[routes].[ArrivalTime].[All]" allUniqueName="[routes].[ArrivalTime].[All]" dimensionUniqueName="[routes]" displayFolder="" count="0" memberValueDatatype="7" unbalanced="0"/>
    <cacheHierarchy uniqueName="[Measures].[Sum of Age]" caption="Sum of Age" measure="1" displayFolder="" measureGroup="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Age]" caption="Count of Age" measure="1" displayFolder="" measureGroup="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BusID]" caption="Sum of BusID" measure="1" displayFolder="" measureGroup="bus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BusID]" caption="Count of BusID" measure="1" displayFolder="" measureGroup="bus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iderID]" caption="Sum of RiderID" measure="1" displayFolder="" measureGroup="factable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RiderID]" caption="Count of RiderID" measure="1" displayFolder="" measureGroup="factable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NumberOfRiders]" caption="Sum of NumberOfRiders" measure="1" displayFolder="" measureGroup="factabl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Total Transaction]" caption="Total Transaction" measure="1" displayFolder="" measureGroup="Calculations" count="0"/>
    <cacheHierarchy uniqueName="[Measures].[Average Age]" caption="Average Age" measure="1" displayFolder="" measureGroup="Calculations" count="0"/>
    <cacheHierarchy uniqueName="[Measures].[Total Riders (Passengers)]" caption="Total Riders (Passengers)" measure="1" displayFolder="" measureGroup="Calculations" count="0" oneField="1">
      <fieldsUsage count="1">
        <fieldUsage x="0"/>
      </fieldsUsage>
    </cacheHierarchy>
    <cacheHierarchy uniqueName="[Measures].[Avg. Riders Per Trip]" caption="Avg. Riders Per Trip" measure="1" displayFolder="" measureGroup="Calculations" count="0"/>
    <cacheHierarchy uniqueName="[Measures].[Total Buses]" caption="Total Buses" measure="1" displayFolder="" measureGroup="Calculations" count="0"/>
    <cacheHierarchy uniqueName="[Measures].[__XL_Count buses]" caption="__XL_Count buses" measure="1" displayFolder="" measureGroup="buses" count="0" hidden="1"/>
    <cacheHierarchy uniqueName="[Measures].[__XL_Count demographics]" caption="__XL_Count demographics" measure="1" displayFolder="" measureGroup="demographics" count="0" hidden="1"/>
    <cacheHierarchy uniqueName="[Measures].[__XL_Count routes]" caption="__XL_Count routes" measure="1" displayFolder="" measureGroup="routes" count="0" hidden="1"/>
    <cacheHierarchy uniqueName="[Measures].[__XL_Count factable]" caption="__XL_Count factable" measure="1" displayFolder="" measureGroup="factable" count="0" hidden="1"/>
    <cacheHierarchy uniqueName="[Measures].[__XL_Count date]" caption="__XL_Count date" measure="1" displayFolder="" measureGroup="dat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buses" uniqueName="[buses]" caption="buses"/>
    <dimension name="Calculations" uniqueName="[Calculations]" caption="Calculations"/>
    <dimension name="date" uniqueName="[date]" caption="date"/>
    <dimension name="demographics" uniqueName="[demographics]" caption="demographics"/>
    <dimension name="factable" uniqueName="[factable]" caption="factable"/>
    <dimension measure="1" name="Measures" uniqueName="[Measures]" caption="Measures"/>
    <dimension name="routes" uniqueName="[routes]" caption="routes"/>
  </dimensions>
  <measureGroups count="6">
    <measureGroup name="buses" caption="buses"/>
    <measureGroup name="Calculations" caption="Calculations"/>
    <measureGroup name="date" caption="date"/>
    <measureGroup name="demographics" caption="demographics"/>
    <measureGroup name="factable" caption="factable"/>
    <measureGroup name="routes" caption="routes"/>
  </measureGroups>
  <maps count="11">
    <map measureGroup="0" dimension="0"/>
    <map measureGroup="0" dimension="6"/>
    <map measureGroup="1" dimension="1"/>
    <map measureGroup="2" dimension="2"/>
    <map measureGroup="3" dimension="3"/>
    <map measureGroup="4" dimension="0"/>
    <map measureGroup="4" dimension="2"/>
    <map measureGroup="4" dimension="3"/>
    <map measureGroup="4" dimension="4"/>
    <map measureGroup="4" dimension="6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904.50759976852" createdVersion="5" refreshedVersion="8" minRefreshableVersion="3" recordCount="0" supportSubquery="1" supportAdvancedDrill="1" xr:uid="{9349825C-44DA-480D-AE8A-B925D3C97628}">
  <cacheSource type="external" connectionId="7"/>
  <cacheFields count="3">
    <cacheField name="[Measures].[Total Riders (Passengers)]" caption="Total Riders (Passengers)" numFmtId="0" hierarchy="46" level="32767"/>
    <cacheField name="[routes].[RouteName].[RouteName]" caption="RouteName" numFmtId="0" hierarchy="31" level="1">
      <sharedItems count="1">
        <s v="East-West Express"/>
      </sharedItems>
    </cacheField>
    <cacheField name="[factable].[Time Segmentation].[Time Segmentation]" caption="Time Segmentation" numFmtId="0" hierarchy="24" level="1">
      <sharedItems count="4">
        <s v="1:00 AM - 4:00 AM"/>
        <s v="10:00 AM - 1:00 PM"/>
        <s v="4:00 AM - 7:00 AM"/>
        <s v="7:00 AM - 10:00 AM"/>
      </sharedItems>
    </cacheField>
  </cacheFields>
  <cacheHierarchies count="56">
    <cacheHierarchy uniqueName="[buses].[BusID]" caption="BusID" attribute="1" defaultMemberUniqueName="[buses].[BusID].[All]" allUniqueName="[buses].[BusID].[All]" dimensionUniqueName="[buses]" displayFolder="" count="0" memberValueDatatype="20" unbalanced="0"/>
    <cacheHierarchy uniqueName="[buses].[RouteID]" caption="RouteID" attribute="1" defaultMemberUniqueName="[buses].[RouteID].[All]" allUniqueName="[buses].[RouteID].[All]" dimensionUniqueName="[buses]" displayFolder="" count="0" memberValueDatatype="20" unbalanced="0"/>
    <cacheHierarchy uniqueName="[buses].[BusNumber]" caption="BusNumber" attribute="1" defaultMemberUniqueName="[buses].[BusNumber].[All]" allUniqueName="[buses].[BusNumber].[All]" dimensionUniqueName="[buses]" displayFolder="" count="0" memberValueDatatype="130" unbalanced="0"/>
    <cacheHierarchy uniqueName="[buses].[Capacity]" caption="Capacity" attribute="1" defaultMemberUniqueName="[buses].[Capacity].[All]" allUniqueName="[buses].[Capacity].[All]" dimensionUniqueName="[buses]" displayFolder="" count="0" memberValueDatatype="20" unbalanced="0"/>
    <cacheHierarchy uniqueName="[Calculations].[Calculations]" caption="Calculations" attribute="1" defaultMemberUniqueName="[Calculations].[Calculations].[All]" allUniqueName="[Calculations].[Calculations].[All]" dimensionUniqueName="[Calculations]" displayFolder="" count="0" memberValueDatatype="130" unbalanced="0"/>
    <cacheHierarchy uniqueName="[date].[Date]" caption="Date" attribute="1" time="1" defaultMemberUniqueName="[date].[Date].[All]" allUniqueName="[date].[Dat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Month Name]" caption="Month Name" attribute="1" defaultMemberUniqueName="[date].[Month Name].[All]" allUniqueName="[date].[Month Name].[All]" dimensionUniqueName="[date]" displayFolder="" count="0" memberValueDatatype="130" unbalanced="0"/>
    <cacheHierarchy uniqueName="[date].[Month Number]" caption="Month Number" attribute="1" defaultMemberUniqueName="[date].[Month Number].[All]" allUniqueName="[date].[Month Number].[All]" dimensionUniqueName="[date]" displayFolder="" count="0" memberValueDatatype="20" unbalanced="0"/>
    <cacheHierarchy uniqueName="[date].[Day Name]" caption="Day Name" attribute="1" defaultMemberUniqueName="[date].[Day Name].[All]" allUniqueName="[date].[Day Name].[All]" dimensionUniqueName="[date]" displayFolder="" count="0" memberValueDatatype="130" unbalanced="0"/>
    <cacheHierarchy uniqueName="[date].[Day of Week]" caption="Day of Week" attribute="1" defaultMemberUniqueName="[date].[Day of Week].[All]" allUniqueName="[date].[Day of Week].[All]" dimensionUniqueName="[date]" displayFolder="" count="0" memberValueDatatype="20" unbalanced="0"/>
    <cacheHierarchy uniqueName="[date].[WeekType]" caption="WeekType" attribute="1" defaultMemberUniqueName="[date].[WeekType].[All]" allUniqueName="[date].[WeekType].[All]" dimensionUniqueName="[date]" displayFolder="" count="0" memberValueDatatype="130" unbalanced="0"/>
    <cacheHierarchy uniqueName="[demographics].[RiderID]" caption="RiderID" attribute="1" defaultMemberUniqueName="[demographics].[RiderID].[All]" allUniqueName="[demographics].[RiderID].[All]" dimensionUniqueName="[demographics]" displayFolder="" count="0" memberValueDatatype="20" unbalanced="0"/>
    <cacheHierarchy uniqueName="[demographics].[Age]" caption="Age" attribute="1" defaultMemberUniqueName="[demographics].[Age].[All]" allUniqueName="[demographics].[Age].[All]" dimensionUniqueName="[demographics]" displayFolder="" count="0" memberValueDatatype="20" unbalanced="0"/>
    <cacheHierarchy uniqueName="[demographics].[Gender]" caption="Gender" attribute="1" defaultMemberUniqueName="[demographics].[Gender].[All]" allUniqueName="[demographics].[Gender].[All]" dimensionUniqueName="[demographics]" displayFolder="" count="0" memberValueDatatype="130" unbalanced="0"/>
    <cacheHierarchy uniqueName="[demographics].[Occupation]" caption="Occupation" attribute="1" defaultMemberUniqueName="[demographics].[Occupation].[All]" allUniqueName="[demographics].[Occupation].[All]" dimensionUniqueName="[demographics]" displayFolder="" count="0" memberValueDatatype="130" unbalanced="0"/>
    <cacheHierarchy uniqueName="[demographics].[AgeBracket]" caption="AgeBracket" attribute="1" defaultMemberUniqueName="[demographics].[AgeBracket].[All]" allUniqueName="[demographics].[AgeBracket].[All]" dimensionUniqueName="[demographics]" displayFolder="" count="0" memberValueDatatype="130" unbalanced="0"/>
    <cacheHierarchy uniqueName="[factable].[RecordID]" caption="RecordID" attribute="1" defaultMemberUniqueName="[factable].[RecordID].[All]" allUniqueName="[factable].[RecordID].[All]" dimensionUniqueName="[factable]" displayFolder="" count="0" memberValueDatatype="20" unbalanced="0"/>
    <cacheHierarchy uniqueName="[factable].[BusID]" caption="BusID" attribute="1" defaultMemberUniqueName="[factable].[BusID].[All]" allUniqueName="[factable].[BusID].[All]" dimensionUniqueName="[factable]" displayFolder="" count="0" memberValueDatatype="20" unbalanced="0"/>
    <cacheHierarchy uniqueName="[factable].[Date]" caption="Date" attribute="1" time="1" defaultMemberUniqueName="[factable].[Date].[All]" allUniqueName="[factable].[Date].[All]" dimensionUniqueName="[factable]" displayFolder="" count="0" memberValueDatatype="7" unbalanced="0"/>
    <cacheHierarchy uniqueName="[factable].[Time]" caption="Time" attribute="1" time="1" defaultMemberUniqueName="[factable].[Time].[All]" allUniqueName="[factable].[Time].[All]" dimensionUniqueName="[factable]" displayFolder="" count="0" memberValueDatatype="7" unbalanced="0"/>
    <cacheHierarchy uniqueName="[factable].[Operation Moment]" caption="Operation Moment" attribute="1" defaultMemberUniqueName="[factable].[Operation Moment].[All]" allUniqueName="[factable].[Operation Moment].[All]" dimensionUniqueName="[factable]" displayFolder="" count="0" memberValueDatatype="130" unbalanced="0"/>
    <cacheHierarchy uniqueName="[factable].[NumberOfRiders]" caption="NumberOfRiders" attribute="1" defaultMemberUniqueName="[factable].[NumberOfRiders].[All]" allUniqueName="[factable].[NumberOfRiders].[All]" dimensionUniqueName="[factable]" displayFolder="" count="0" memberValueDatatype="20" unbalanced="0"/>
    <cacheHierarchy uniqueName="[factable].[RiderID]" caption="RiderID" attribute="1" defaultMemberUniqueName="[factable].[RiderID].[All]" allUniqueName="[factable].[RiderID].[All]" dimensionUniqueName="[factable]" displayFolder="" count="0" memberValueDatatype="20" unbalanced="0"/>
    <cacheHierarchy uniqueName="[factable].[Time Segmentation]" caption="Time Segmentation" attribute="1" defaultMemberUniqueName="[factable].[Time Segmentation].[All]" allUniqueName="[factable].[Time Segmentation].[All]" dimensionUniqueName="[factable]" displayFolder="" count="2" memberValueDatatype="130" unbalanced="0">
      <fieldsUsage count="2">
        <fieldUsage x="-1"/>
        <fieldUsage x="2"/>
      </fieldsUsage>
    </cacheHierarchy>
    <cacheHierarchy uniqueName="[factable].[Capacity]" caption="Capacity" attribute="1" defaultMemberUniqueName="[factable].[Capacity].[All]" allUniqueName="[factable].[Capacity].[All]" dimensionUniqueName="[factable]" displayFolder="" count="0" memberValueDatatype="20" unbalanced="0"/>
    <cacheHierarchy uniqueName="[factable].[Utilization Percentage]" caption="Utilization Percentage" attribute="1" defaultMemberUniqueName="[factable].[Utilization Percentage].[All]" allUniqueName="[factable].[Utilization Percentage].[All]" dimensionUniqueName="[factable]" displayFolder="" count="0" memberValueDatatype="5" unbalanced="0"/>
    <cacheHierarchy uniqueName="[factable].[Utilization Criterion]" caption="Utilization Criterion" attribute="1" defaultMemberUniqueName="[factable].[Utilization Criterion].[All]" allUniqueName="[factable].[Utilization Criterion].[All]" dimensionUniqueName="[factable]" displayFolder="" count="0" memberValueDatatype="130" unbalanced="0"/>
    <cacheHierarchy uniqueName="[factable].[Time (Hour)]" caption="Time (Hour)" attribute="1" defaultMemberUniqueName="[factable].[Time (Hour)].[All]" allUniqueName="[factable].[Time (Hour)].[All]" dimensionUniqueName="[factable]" displayFolder="" count="0" memberValueDatatype="130" unbalanced="0"/>
    <cacheHierarchy uniqueName="[factable].[Time (Minute)]" caption="Time (Minute)" attribute="1" defaultMemberUniqueName="[factable].[Time (Minute)].[All]" allUniqueName="[factable].[Time (Minute)].[All]" dimensionUniqueName="[factable]" displayFolder="" count="0" memberValueDatatype="130" unbalanced="0"/>
    <cacheHierarchy uniqueName="[routes].[RouteID]" caption="RouteID" attribute="1" defaultMemberUniqueName="[routes].[RouteID].[All]" allUniqueName="[routes].[RouteID].[All]" dimensionUniqueName="[routes]" displayFolder="" count="0" memberValueDatatype="20" unbalanced="0"/>
    <cacheHierarchy uniqueName="[routes].[RouteName]" caption="RouteName" attribute="1" defaultMemberUniqueName="[routes].[RouteName].[All]" allUniqueName="[routes].[RouteName].[All]" dimensionUniqueName="[routes]" displayFolder="" count="2" memberValueDatatype="130" unbalanced="0">
      <fieldsUsage count="2">
        <fieldUsage x="-1"/>
        <fieldUsage x="1"/>
      </fieldsUsage>
    </cacheHierarchy>
    <cacheHierarchy uniqueName="[routes].[StartLocation]" caption="StartLocation" attribute="1" defaultMemberUniqueName="[routes].[StartLocation].[All]" allUniqueName="[routes].[StartLocation].[All]" dimensionUniqueName="[routes]" displayFolder="" count="0" memberValueDatatype="130" unbalanced="0"/>
    <cacheHierarchy uniqueName="[routes].[EndLocation]" caption="EndLocation" attribute="1" defaultMemberUniqueName="[routes].[EndLocation].[All]" allUniqueName="[routes].[EndLocation].[All]" dimensionUniqueName="[routes]" displayFolder="" count="0" memberValueDatatype="130" unbalanced="0"/>
    <cacheHierarchy uniqueName="[routes].[TripFee]" caption="TripFee" attribute="1" defaultMemberUniqueName="[routes].[TripFee].[All]" allUniqueName="[routes].[TripFee].[All]" dimensionUniqueName="[routes]" displayFolder="" count="0" memberValueDatatype="20" unbalanced="0"/>
    <cacheHierarchy uniqueName="[routes].[TakeOffTime]" caption="TakeOffTime" attribute="1" time="1" defaultMemberUniqueName="[routes].[TakeOffTime].[All]" allUniqueName="[routes].[TakeOffTime].[All]" dimensionUniqueName="[routes]" displayFolder="" count="0" memberValueDatatype="7" unbalanced="0"/>
    <cacheHierarchy uniqueName="[routes].[ArrivalTime]" caption="ArrivalTime" attribute="1" time="1" defaultMemberUniqueName="[routes].[ArrivalTime].[All]" allUniqueName="[routes].[ArrivalTime].[All]" dimensionUniqueName="[routes]" displayFolder="" count="0" memberValueDatatype="7" unbalanced="0"/>
    <cacheHierarchy uniqueName="[Measures].[Sum of Age]" caption="Sum of Age" measure="1" displayFolder="" measureGroup="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Age]" caption="Count of Age" measure="1" displayFolder="" measureGroup="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BusID]" caption="Sum of BusID" measure="1" displayFolder="" measureGroup="bus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BusID]" caption="Count of BusID" measure="1" displayFolder="" measureGroup="bus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iderID]" caption="Sum of RiderID" measure="1" displayFolder="" measureGroup="factable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RiderID]" caption="Count of RiderID" measure="1" displayFolder="" measureGroup="factable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NumberOfRiders]" caption="Sum of NumberOfRiders" measure="1" displayFolder="" measureGroup="factabl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Total Transaction]" caption="Total Transaction" measure="1" displayFolder="" measureGroup="Calculations" count="0"/>
    <cacheHierarchy uniqueName="[Measures].[Average Age]" caption="Average Age" measure="1" displayFolder="" measureGroup="Calculations" count="0"/>
    <cacheHierarchy uniqueName="[Measures].[Total Riders (Passengers)]" caption="Total Riders (Passengers)" measure="1" displayFolder="" measureGroup="Calculations" count="0" oneField="1">
      <fieldsUsage count="1">
        <fieldUsage x="0"/>
      </fieldsUsage>
    </cacheHierarchy>
    <cacheHierarchy uniqueName="[Measures].[Avg. Riders Per Trip]" caption="Avg. Riders Per Trip" measure="1" displayFolder="" measureGroup="Calculations" count="0"/>
    <cacheHierarchy uniqueName="[Measures].[Total Buses]" caption="Total Buses" measure="1" displayFolder="" measureGroup="Calculations" count="0"/>
    <cacheHierarchy uniqueName="[Measures].[__XL_Count buses]" caption="__XL_Count buses" measure="1" displayFolder="" measureGroup="buses" count="0" hidden="1"/>
    <cacheHierarchy uniqueName="[Measures].[__XL_Count demographics]" caption="__XL_Count demographics" measure="1" displayFolder="" measureGroup="demographics" count="0" hidden="1"/>
    <cacheHierarchy uniqueName="[Measures].[__XL_Count routes]" caption="__XL_Count routes" measure="1" displayFolder="" measureGroup="routes" count="0" hidden="1"/>
    <cacheHierarchy uniqueName="[Measures].[__XL_Count factable]" caption="__XL_Count factable" measure="1" displayFolder="" measureGroup="factable" count="0" hidden="1"/>
    <cacheHierarchy uniqueName="[Measures].[__XL_Count date]" caption="__XL_Count date" measure="1" displayFolder="" measureGroup="dat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buses" uniqueName="[buses]" caption="buses"/>
    <dimension name="Calculations" uniqueName="[Calculations]" caption="Calculations"/>
    <dimension name="date" uniqueName="[date]" caption="date"/>
    <dimension name="demographics" uniqueName="[demographics]" caption="demographics"/>
    <dimension name="factable" uniqueName="[factable]" caption="factable"/>
    <dimension measure="1" name="Measures" uniqueName="[Measures]" caption="Measures"/>
    <dimension name="routes" uniqueName="[routes]" caption="routes"/>
  </dimensions>
  <measureGroups count="6">
    <measureGroup name="buses" caption="buses"/>
    <measureGroup name="Calculations" caption="Calculations"/>
    <measureGroup name="date" caption="date"/>
    <measureGroup name="demographics" caption="demographics"/>
    <measureGroup name="factable" caption="factable"/>
    <measureGroup name="routes" caption="routes"/>
  </measureGroups>
  <maps count="11">
    <map measureGroup="0" dimension="0"/>
    <map measureGroup="0" dimension="6"/>
    <map measureGroup="1" dimension="1"/>
    <map measureGroup="2" dimension="2"/>
    <map measureGroup="3" dimension="3"/>
    <map measureGroup="4" dimension="0"/>
    <map measureGroup="4" dimension="2"/>
    <map measureGroup="4" dimension="3"/>
    <map measureGroup="4" dimension="4"/>
    <map measureGroup="4" dimension="6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904.507601041667" createdVersion="5" refreshedVersion="8" minRefreshableVersion="3" recordCount="0" supportSubquery="1" supportAdvancedDrill="1" xr:uid="{A86AB47E-3982-48D3-BD4E-B2AFF9CD3A42}">
  <cacheSource type="external" connectionId="7"/>
  <cacheFields count="3">
    <cacheField name="[Measures].[Total Riders (Passengers)]" caption="Total Riders (Passengers)" numFmtId="0" hierarchy="46" level="32767"/>
    <cacheField name="[routes].[RouteName].[RouteName]" caption="RouteName" numFmtId="0" hierarchy="31" level="1">
      <sharedItems count="1">
        <s v="East-West Express"/>
      </sharedItems>
    </cacheField>
    <cacheField name="[factable].[Time Segmentation].[Time Segmentation]" caption="Time Segmentation" numFmtId="0" hierarchy="24" level="1">
      <sharedItems count="4">
        <s v="1:00 AM - 4:00 AM"/>
        <s v="10:00 AM - 1:00 PM"/>
        <s v="4:00 AM - 7:00 AM"/>
        <s v="7:00 AM - 10:00 AM"/>
      </sharedItems>
    </cacheField>
  </cacheFields>
  <cacheHierarchies count="56">
    <cacheHierarchy uniqueName="[buses].[BusID]" caption="BusID" attribute="1" defaultMemberUniqueName="[buses].[BusID].[All]" allUniqueName="[buses].[BusID].[All]" dimensionUniqueName="[buses]" displayFolder="" count="0" memberValueDatatype="20" unbalanced="0"/>
    <cacheHierarchy uniqueName="[buses].[RouteID]" caption="RouteID" attribute="1" defaultMemberUniqueName="[buses].[RouteID].[All]" allUniqueName="[buses].[RouteID].[All]" dimensionUniqueName="[buses]" displayFolder="" count="0" memberValueDatatype="20" unbalanced="0"/>
    <cacheHierarchy uniqueName="[buses].[BusNumber]" caption="BusNumber" attribute="1" defaultMemberUniqueName="[buses].[BusNumber].[All]" allUniqueName="[buses].[BusNumber].[All]" dimensionUniqueName="[buses]" displayFolder="" count="0" memberValueDatatype="130" unbalanced="0"/>
    <cacheHierarchy uniqueName="[buses].[Capacity]" caption="Capacity" attribute="1" defaultMemberUniqueName="[buses].[Capacity].[All]" allUniqueName="[buses].[Capacity].[All]" dimensionUniqueName="[buses]" displayFolder="" count="0" memberValueDatatype="20" unbalanced="0"/>
    <cacheHierarchy uniqueName="[Calculations].[Calculations]" caption="Calculations" attribute="1" defaultMemberUniqueName="[Calculations].[Calculations].[All]" allUniqueName="[Calculations].[Calculations].[All]" dimensionUniqueName="[Calculations]" displayFolder="" count="0" memberValueDatatype="130" unbalanced="0"/>
    <cacheHierarchy uniqueName="[date].[Date]" caption="Date" attribute="1" time="1" defaultMemberUniqueName="[date].[Date].[All]" allUniqueName="[date].[Dat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Month Name]" caption="Month Name" attribute="1" defaultMemberUniqueName="[date].[Month Name].[All]" allUniqueName="[date].[Month Name].[All]" dimensionUniqueName="[date]" displayFolder="" count="0" memberValueDatatype="130" unbalanced="0"/>
    <cacheHierarchy uniqueName="[date].[Month Number]" caption="Month Number" attribute="1" defaultMemberUniqueName="[date].[Month Number].[All]" allUniqueName="[date].[Month Number].[All]" dimensionUniqueName="[date]" displayFolder="" count="0" memberValueDatatype="20" unbalanced="0"/>
    <cacheHierarchy uniqueName="[date].[Day Name]" caption="Day Name" attribute="1" defaultMemberUniqueName="[date].[Day Name].[All]" allUniqueName="[date].[Day Name].[All]" dimensionUniqueName="[date]" displayFolder="" count="0" memberValueDatatype="130" unbalanced="0"/>
    <cacheHierarchy uniqueName="[date].[Day of Week]" caption="Day of Week" attribute="1" defaultMemberUniqueName="[date].[Day of Week].[All]" allUniqueName="[date].[Day of Week].[All]" dimensionUniqueName="[date]" displayFolder="" count="0" memberValueDatatype="20" unbalanced="0"/>
    <cacheHierarchy uniqueName="[date].[WeekType]" caption="WeekType" attribute="1" defaultMemberUniqueName="[date].[WeekType].[All]" allUniqueName="[date].[WeekType].[All]" dimensionUniqueName="[date]" displayFolder="" count="0" memberValueDatatype="130" unbalanced="0"/>
    <cacheHierarchy uniqueName="[demographics].[RiderID]" caption="RiderID" attribute="1" defaultMemberUniqueName="[demographics].[RiderID].[All]" allUniqueName="[demographics].[RiderID].[All]" dimensionUniqueName="[demographics]" displayFolder="" count="0" memberValueDatatype="20" unbalanced="0"/>
    <cacheHierarchy uniqueName="[demographics].[Age]" caption="Age" attribute="1" defaultMemberUniqueName="[demographics].[Age].[All]" allUniqueName="[demographics].[Age].[All]" dimensionUniqueName="[demographics]" displayFolder="" count="0" memberValueDatatype="20" unbalanced="0"/>
    <cacheHierarchy uniqueName="[demographics].[Gender]" caption="Gender" attribute="1" defaultMemberUniqueName="[demographics].[Gender].[All]" allUniqueName="[demographics].[Gender].[All]" dimensionUniqueName="[demographics]" displayFolder="" count="0" memberValueDatatype="130" unbalanced="0"/>
    <cacheHierarchy uniqueName="[demographics].[Occupation]" caption="Occupation" attribute="1" defaultMemberUniqueName="[demographics].[Occupation].[All]" allUniqueName="[demographics].[Occupation].[All]" dimensionUniqueName="[demographics]" displayFolder="" count="0" memberValueDatatype="130" unbalanced="0"/>
    <cacheHierarchy uniqueName="[demographics].[AgeBracket]" caption="AgeBracket" attribute="1" defaultMemberUniqueName="[demographics].[AgeBracket].[All]" allUniqueName="[demographics].[AgeBracket].[All]" dimensionUniqueName="[demographics]" displayFolder="" count="0" memberValueDatatype="130" unbalanced="0"/>
    <cacheHierarchy uniqueName="[factable].[RecordID]" caption="RecordID" attribute="1" defaultMemberUniqueName="[factable].[RecordID].[All]" allUniqueName="[factable].[RecordID].[All]" dimensionUniqueName="[factable]" displayFolder="" count="0" memberValueDatatype="20" unbalanced="0"/>
    <cacheHierarchy uniqueName="[factable].[BusID]" caption="BusID" attribute="1" defaultMemberUniqueName="[factable].[BusID].[All]" allUniqueName="[factable].[BusID].[All]" dimensionUniqueName="[factable]" displayFolder="" count="0" memberValueDatatype="20" unbalanced="0"/>
    <cacheHierarchy uniqueName="[factable].[Date]" caption="Date" attribute="1" time="1" defaultMemberUniqueName="[factable].[Date].[All]" allUniqueName="[factable].[Date].[All]" dimensionUniqueName="[factable]" displayFolder="" count="0" memberValueDatatype="7" unbalanced="0"/>
    <cacheHierarchy uniqueName="[factable].[Time]" caption="Time" attribute="1" time="1" defaultMemberUniqueName="[factable].[Time].[All]" allUniqueName="[factable].[Time].[All]" dimensionUniqueName="[factable]" displayFolder="" count="0" memberValueDatatype="7" unbalanced="0"/>
    <cacheHierarchy uniqueName="[factable].[Operation Moment]" caption="Operation Moment" attribute="1" defaultMemberUniqueName="[factable].[Operation Moment].[All]" allUniqueName="[factable].[Operation Moment].[All]" dimensionUniqueName="[factable]" displayFolder="" count="0" memberValueDatatype="130" unbalanced="0"/>
    <cacheHierarchy uniqueName="[factable].[NumberOfRiders]" caption="NumberOfRiders" attribute="1" defaultMemberUniqueName="[factable].[NumberOfRiders].[All]" allUniqueName="[factable].[NumberOfRiders].[All]" dimensionUniqueName="[factable]" displayFolder="" count="0" memberValueDatatype="20" unbalanced="0"/>
    <cacheHierarchy uniqueName="[factable].[RiderID]" caption="RiderID" attribute="1" defaultMemberUniqueName="[factable].[RiderID].[All]" allUniqueName="[factable].[RiderID].[All]" dimensionUniqueName="[factable]" displayFolder="" count="0" memberValueDatatype="20" unbalanced="0"/>
    <cacheHierarchy uniqueName="[factable].[Time Segmentation]" caption="Time Segmentation" attribute="1" defaultMemberUniqueName="[factable].[Time Segmentation].[All]" allUniqueName="[factable].[Time Segmentation].[All]" dimensionUniqueName="[factable]" displayFolder="" count="2" memberValueDatatype="130" unbalanced="0">
      <fieldsUsage count="2">
        <fieldUsage x="-1"/>
        <fieldUsage x="2"/>
      </fieldsUsage>
    </cacheHierarchy>
    <cacheHierarchy uniqueName="[factable].[Capacity]" caption="Capacity" attribute="1" defaultMemberUniqueName="[factable].[Capacity].[All]" allUniqueName="[factable].[Capacity].[All]" dimensionUniqueName="[factable]" displayFolder="" count="0" memberValueDatatype="20" unbalanced="0"/>
    <cacheHierarchy uniqueName="[factable].[Utilization Percentage]" caption="Utilization Percentage" attribute="1" defaultMemberUniqueName="[factable].[Utilization Percentage].[All]" allUniqueName="[factable].[Utilization Percentage].[All]" dimensionUniqueName="[factable]" displayFolder="" count="0" memberValueDatatype="5" unbalanced="0"/>
    <cacheHierarchy uniqueName="[factable].[Utilization Criterion]" caption="Utilization Criterion" attribute="1" defaultMemberUniqueName="[factable].[Utilization Criterion].[All]" allUniqueName="[factable].[Utilization Criterion].[All]" dimensionUniqueName="[factable]" displayFolder="" count="0" memberValueDatatype="130" unbalanced="0"/>
    <cacheHierarchy uniqueName="[factable].[Time (Hour)]" caption="Time (Hour)" attribute="1" defaultMemberUniqueName="[factable].[Time (Hour)].[All]" allUniqueName="[factable].[Time (Hour)].[All]" dimensionUniqueName="[factable]" displayFolder="" count="0" memberValueDatatype="130" unbalanced="0"/>
    <cacheHierarchy uniqueName="[factable].[Time (Minute)]" caption="Time (Minute)" attribute="1" defaultMemberUniqueName="[factable].[Time (Minute)].[All]" allUniqueName="[factable].[Time (Minute)].[All]" dimensionUniqueName="[factable]" displayFolder="" count="0" memberValueDatatype="130" unbalanced="0"/>
    <cacheHierarchy uniqueName="[routes].[RouteID]" caption="RouteID" attribute="1" defaultMemberUniqueName="[routes].[RouteID].[All]" allUniqueName="[routes].[RouteID].[All]" dimensionUniqueName="[routes]" displayFolder="" count="0" memberValueDatatype="20" unbalanced="0"/>
    <cacheHierarchy uniqueName="[routes].[RouteName]" caption="RouteName" attribute="1" defaultMemberUniqueName="[routes].[RouteName].[All]" allUniqueName="[routes].[RouteName].[All]" dimensionUniqueName="[routes]" displayFolder="" count="2" memberValueDatatype="130" unbalanced="0">
      <fieldsUsage count="2">
        <fieldUsage x="-1"/>
        <fieldUsage x="1"/>
      </fieldsUsage>
    </cacheHierarchy>
    <cacheHierarchy uniqueName="[routes].[StartLocation]" caption="StartLocation" attribute="1" defaultMemberUniqueName="[routes].[StartLocation].[All]" allUniqueName="[routes].[StartLocation].[All]" dimensionUniqueName="[routes]" displayFolder="" count="0" memberValueDatatype="130" unbalanced="0"/>
    <cacheHierarchy uniqueName="[routes].[EndLocation]" caption="EndLocation" attribute="1" defaultMemberUniqueName="[routes].[EndLocation].[All]" allUniqueName="[routes].[EndLocation].[All]" dimensionUniqueName="[routes]" displayFolder="" count="0" memberValueDatatype="130" unbalanced="0"/>
    <cacheHierarchy uniqueName="[routes].[TripFee]" caption="TripFee" attribute="1" defaultMemberUniqueName="[routes].[TripFee].[All]" allUniqueName="[routes].[TripFee].[All]" dimensionUniqueName="[routes]" displayFolder="" count="0" memberValueDatatype="20" unbalanced="0"/>
    <cacheHierarchy uniqueName="[routes].[TakeOffTime]" caption="TakeOffTime" attribute="1" time="1" defaultMemberUniqueName="[routes].[TakeOffTime].[All]" allUniqueName="[routes].[TakeOffTime].[All]" dimensionUniqueName="[routes]" displayFolder="" count="0" memberValueDatatype="7" unbalanced="0"/>
    <cacheHierarchy uniqueName="[routes].[ArrivalTime]" caption="ArrivalTime" attribute="1" time="1" defaultMemberUniqueName="[routes].[ArrivalTime].[All]" allUniqueName="[routes].[ArrivalTime].[All]" dimensionUniqueName="[routes]" displayFolder="" count="0" memberValueDatatype="7" unbalanced="0"/>
    <cacheHierarchy uniqueName="[Measures].[Sum of Age]" caption="Sum of Age" measure="1" displayFolder="" measureGroup="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Age]" caption="Count of Age" measure="1" displayFolder="" measureGroup="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BusID]" caption="Sum of BusID" measure="1" displayFolder="" measureGroup="bus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BusID]" caption="Count of BusID" measure="1" displayFolder="" measureGroup="bus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iderID]" caption="Sum of RiderID" measure="1" displayFolder="" measureGroup="factable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RiderID]" caption="Count of RiderID" measure="1" displayFolder="" measureGroup="factable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NumberOfRiders]" caption="Sum of NumberOfRiders" measure="1" displayFolder="" measureGroup="factabl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Total Transaction]" caption="Total Transaction" measure="1" displayFolder="" measureGroup="Calculations" count="0"/>
    <cacheHierarchy uniqueName="[Measures].[Average Age]" caption="Average Age" measure="1" displayFolder="" measureGroup="Calculations" count="0"/>
    <cacheHierarchy uniqueName="[Measures].[Total Riders (Passengers)]" caption="Total Riders (Passengers)" measure="1" displayFolder="" measureGroup="Calculations" count="0" oneField="1">
      <fieldsUsage count="1">
        <fieldUsage x="0"/>
      </fieldsUsage>
    </cacheHierarchy>
    <cacheHierarchy uniqueName="[Measures].[Avg. Riders Per Trip]" caption="Avg. Riders Per Trip" measure="1" displayFolder="" measureGroup="Calculations" count="0"/>
    <cacheHierarchy uniqueName="[Measures].[Total Buses]" caption="Total Buses" measure="1" displayFolder="" measureGroup="Calculations" count="0"/>
    <cacheHierarchy uniqueName="[Measures].[__XL_Count buses]" caption="__XL_Count buses" measure="1" displayFolder="" measureGroup="buses" count="0" hidden="1"/>
    <cacheHierarchy uniqueName="[Measures].[__XL_Count demographics]" caption="__XL_Count demographics" measure="1" displayFolder="" measureGroup="demographics" count="0" hidden="1"/>
    <cacheHierarchy uniqueName="[Measures].[__XL_Count routes]" caption="__XL_Count routes" measure="1" displayFolder="" measureGroup="routes" count="0" hidden="1"/>
    <cacheHierarchy uniqueName="[Measures].[__XL_Count factable]" caption="__XL_Count factable" measure="1" displayFolder="" measureGroup="factable" count="0" hidden="1"/>
    <cacheHierarchy uniqueName="[Measures].[__XL_Count date]" caption="__XL_Count date" measure="1" displayFolder="" measureGroup="dat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buses" uniqueName="[buses]" caption="buses"/>
    <dimension name="Calculations" uniqueName="[Calculations]" caption="Calculations"/>
    <dimension name="date" uniqueName="[date]" caption="date"/>
    <dimension name="demographics" uniqueName="[demographics]" caption="demographics"/>
    <dimension name="factable" uniqueName="[factable]" caption="factable"/>
    <dimension measure="1" name="Measures" uniqueName="[Measures]" caption="Measures"/>
    <dimension name="routes" uniqueName="[routes]" caption="routes"/>
  </dimensions>
  <measureGroups count="6">
    <measureGroup name="buses" caption="buses"/>
    <measureGroup name="Calculations" caption="Calculations"/>
    <measureGroup name="date" caption="date"/>
    <measureGroup name="demographics" caption="demographics"/>
    <measureGroup name="factable" caption="factable"/>
    <measureGroup name="routes" caption="routes"/>
  </measureGroups>
  <maps count="11">
    <map measureGroup="0" dimension="0"/>
    <map measureGroup="0" dimension="6"/>
    <map measureGroup="1" dimension="1"/>
    <map measureGroup="2" dimension="2"/>
    <map measureGroup="3" dimension="3"/>
    <map measureGroup="4" dimension="0"/>
    <map measureGroup="4" dimension="2"/>
    <map measureGroup="4" dimension="3"/>
    <map measureGroup="4" dimension="4"/>
    <map measureGroup="4" dimension="6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904.507602199075" createdVersion="5" refreshedVersion="8" minRefreshableVersion="3" recordCount="0" supportSubquery="1" supportAdvancedDrill="1" xr:uid="{8D6B832F-2083-4C0D-A688-6D0D4431C2D6}">
  <cacheSource type="external" connectionId="7"/>
  <cacheFields count="2">
    <cacheField name="[Measures].[Total Riders (Passengers)]" caption="Total Riders (Passengers)" numFmtId="0" hierarchy="46" level="32767"/>
    <cacheField name="[Measures].[Avg. Riders Per Trip]" caption="Avg. Riders Per Trip" numFmtId="0" hierarchy="47" level="32767"/>
  </cacheFields>
  <cacheHierarchies count="56">
    <cacheHierarchy uniqueName="[buses].[BusID]" caption="BusID" attribute="1" defaultMemberUniqueName="[buses].[BusID].[All]" allUniqueName="[buses].[BusID].[All]" dimensionUniqueName="[buses]" displayFolder="" count="0" memberValueDatatype="20" unbalanced="0"/>
    <cacheHierarchy uniqueName="[buses].[RouteID]" caption="RouteID" attribute="1" defaultMemberUniqueName="[buses].[RouteID].[All]" allUniqueName="[buses].[RouteID].[All]" dimensionUniqueName="[buses]" displayFolder="" count="0" memberValueDatatype="20" unbalanced="0"/>
    <cacheHierarchy uniqueName="[buses].[BusNumber]" caption="BusNumber" attribute="1" defaultMemberUniqueName="[buses].[BusNumber].[All]" allUniqueName="[buses].[BusNumber].[All]" dimensionUniqueName="[buses]" displayFolder="" count="0" memberValueDatatype="130" unbalanced="0"/>
    <cacheHierarchy uniqueName="[buses].[Capacity]" caption="Capacity" attribute="1" defaultMemberUniqueName="[buses].[Capacity].[All]" allUniqueName="[buses].[Capacity].[All]" dimensionUniqueName="[buses]" displayFolder="" count="0" memberValueDatatype="20" unbalanced="0"/>
    <cacheHierarchy uniqueName="[Calculations].[Calculations]" caption="Calculations" attribute="1" defaultMemberUniqueName="[Calculations].[Calculations].[All]" allUniqueName="[Calculations].[Calculations].[All]" dimensionUniqueName="[Calculations]" displayFolder="" count="0" memberValueDatatype="130" unbalanced="0"/>
    <cacheHierarchy uniqueName="[date].[Date]" caption="Date" attribute="1" time="1" defaultMemberUniqueName="[date].[Date].[All]" allUniqueName="[date].[Dat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Month Name]" caption="Month Name" attribute="1" defaultMemberUniqueName="[date].[Month Name].[All]" allUniqueName="[date].[Month Name].[All]" dimensionUniqueName="[date]" displayFolder="" count="0" memberValueDatatype="130" unbalanced="0"/>
    <cacheHierarchy uniqueName="[date].[Month Number]" caption="Month Number" attribute="1" defaultMemberUniqueName="[date].[Month Number].[All]" allUniqueName="[date].[Month Number].[All]" dimensionUniqueName="[date]" displayFolder="" count="0" memberValueDatatype="20" unbalanced="0"/>
    <cacheHierarchy uniqueName="[date].[Day Name]" caption="Day Name" attribute="1" defaultMemberUniqueName="[date].[Day Name].[All]" allUniqueName="[date].[Day Name].[All]" dimensionUniqueName="[date]" displayFolder="" count="0" memberValueDatatype="130" unbalanced="0"/>
    <cacheHierarchy uniqueName="[date].[Day of Week]" caption="Day of Week" attribute="1" defaultMemberUniqueName="[date].[Day of Week].[All]" allUniqueName="[date].[Day of Week].[All]" dimensionUniqueName="[date]" displayFolder="" count="0" memberValueDatatype="20" unbalanced="0"/>
    <cacheHierarchy uniqueName="[date].[WeekType]" caption="WeekType" attribute="1" defaultMemberUniqueName="[date].[WeekType].[All]" allUniqueName="[date].[WeekType].[All]" dimensionUniqueName="[date]" displayFolder="" count="0" memberValueDatatype="130" unbalanced="0"/>
    <cacheHierarchy uniqueName="[demographics].[RiderID]" caption="RiderID" attribute="1" defaultMemberUniqueName="[demographics].[RiderID].[All]" allUniqueName="[demographics].[RiderID].[All]" dimensionUniqueName="[demographics]" displayFolder="" count="0" memberValueDatatype="20" unbalanced="0"/>
    <cacheHierarchy uniqueName="[demographics].[Age]" caption="Age" attribute="1" defaultMemberUniqueName="[demographics].[Age].[All]" allUniqueName="[demographics].[Age].[All]" dimensionUniqueName="[demographics]" displayFolder="" count="0" memberValueDatatype="20" unbalanced="0"/>
    <cacheHierarchy uniqueName="[demographics].[Gender]" caption="Gender" attribute="1" defaultMemberUniqueName="[demographics].[Gender].[All]" allUniqueName="[demographics].[Gender].[All]" dimensionUniqueName="[demographics]" displayFolder="" count="0" memberValueDatatype="130" unbalanced="0"/>
    <cacheHierarchy uniqueName="[demographics].[Occupation]" caption="Occupation" attribute="1" defaultMemberUniqueName="[demographics].[Occupation].[All]" allUniqueName="[demographics].[Occupation].[All]" dimensionUniqueName="[demographics]" displayFolder="" count="0" memberValueDatatype="130" unbalanced="0"/>
    <cacheHierarchy uniqueName="[demographics].[AgeBracket]" caption="AgeBracket" attribute="1" defaultMemberUniqueName="[demographics].[AgeBracket].[All]" allUniqueName="[demographics].[AgeBracket].[All]" dimensionUniqueName="[demographics]" displayFolder="" count="0" memberValueDatatype="130" unbalanced="0"/>
    <cacheHierarchy uniqueName="[factable].[RecordID]" caption="RecordID" attribute="1" defaultMemberUniqueName="[factable].[RecordID].[All]" allUniqueName="[factable].[RecordID].[All]" dimensionUniqueName="[factable]" displayFolder="" count="0" memberValueDatatype="20" unbalanced="0"/>
    <cacheHierarchy uniqueName="[factable].[BusID]" caption="BusID" attribute="1" defaultMemberUniqueName="[factable].[BusID].[All]" allUniqueName="[factable].[BusID].[All]" dimensionUniqueName="[factable]" displayFolder="" count="0" memberValueDatatype="20" unbalanced="0"/>
    <cacheHierarchy uniqueName="[factable].[Date]" caption="Date" attribute="1" time="1" defaultMemberUniqueName="[factable].[Date].[All]" allUniqueName="[factable].[Date].[All]" dimensionUniqueName="[factable]" displayFolder="" count="0" memberValueDatatype="7" unbalanced="0"/>
    <cacheHierarchy uniqueName="[factable].[Time]" caption="Time" attribute="1" time="1" defaultMemberUniqueName="[factable].[Time].[All]" allUniqueName="[factable].[Time].[All]" dimensionUniqueName="[factable]" displayFolder="" count="0" memberValueDatatype="7" unbalanced="0"/>
    <cacheHierarchy uniqueName="[factable].[Operation Moment]" caption="Operation Moment" attribute="1" defaultMemberUniqueName="[factable].[Operation Moment].[All]" allUniqueName="[factable].[Operation Moment].[All]" dimensionUniqueName="[factable]" displayFolder="" count="0" memberValueDatatype="130" unbalanced="0"/>
    <cacheHierarchy uniqueName="[factable].[NumberOfRiders]" caption="NumberOfRiders" attribute="1" defaultMemberUniqueName="[factable].[NumberOfRiders].[All]" allUniqueName="[factable].[NumberOfRiders].[All]" dimensionUniqueName="[factable]" displayFolder="" count="0" memberValueDatatype="20" unbalanced="0"/>
    <cacheHierarchy uniqueName="[factable].[RiderID]" caption="RiderID" attribute="1" defaultMemberUniqueName="[factable].[RiderID].[All]" allUniqueName="[factable].[RiderID].[All]" dimensionUniqueName="[factable]" displayFolder="" count="0" memberValueDatatype="20" unbalanced="0"/>
    <cacheHierarchy uniqueName="[factable].[Time Segmentation]" caption="Time Segmentation" attribute="1" defaultMemberUniqueName="[factable].[Time Segmentation].[All]" allUniqueName="[factable].[Time Segmentation].[All]" dimensionUniqueName="[factable]" displayFolder="" count="0" memberValueDatatype="130" unbalanced="0"/>
    <cacheHierarchy uniqueName="[factable].[Capacity]" caption="Capacity" attribute="1" defaultMemberUniqueName="[factable].[Capacity].[All]" allUniqueName="[factable].[Capacity].[All]" dimensionUniqueName="[factable]" displayFolder="" count="0" memberValueDatatype="20" unbalanced="0"/>
    <cacheHierarchy uniqueName="[factable].[Utilization Percentage]" caption="Utilization Percentage" attribute="1" defaultMemberUniqueName="[factable].[Utilization Percentage].[All]" allUniqueName="[factable].[Utilization Percentage].[All]" dimensionUniqueName="[factable]" displayFolder="" count="0" memberValueDatatype="5" unbalanced="0"/>
    <cacheHierarchy uniqueName="[factable].[Utilization Criterion]" caption="Utilization Criterion" attribute="1" defaultMemberUniqueName="[factable].[Utilization Criterion].[All]" allUniqueName="[factable].[Utilization Criterion].[All]" dimensionUniqueName="[factable]" displayFolder="" count="0" memberValueDatatype="130" unbalanced="0"/>
    <cacheHierarchy uniqueName="[factable].[Time (Hour)]" caption="Time (Hour)" attribute="1" defaultMemberUniqueName="[factable].[Time (Hour)].[All]" allUniqueName="[factable].[Time (Hour)].[All]" dimensionUniqueName="[factable]" displayFolder="" count="0" memberValueDatatype="130" unbalanced="0"/>
    <cacheHierarchy uniqueName="[factable].[Time (Minute)]" caption="Time (Minute)" attribute="1" defaultMemberUniqueName="[factable].[Time (Minute)].[All]" allUniqueName="[factable].[Time (Minute)].[All]" dimensionUniqueName="[factable]" displayFolder="" count="0" memberValueDatatype="130" unbalanced="0"/>
    <cacheHierarchy uniqueName="[routes].[RouteID]" caption="RouteID" attribute="1" defaultMemberUniqueName="[routes].[RouteID].[All]" allUniqueName="[routes].[RouteID].[All]" dimensionUniqueName="[routes]" displayFolder="" count="0" memberValueDatatype="20" unbalanced="0"/>
    <cacheHierarchy uniqueName="[routes].[RouteName]" caption="RouteName" attribute="1" defaultMemberUniqueName="[routes].[RouteName].[All]" allUniqueName="[routes].[RouteName].[All]" dimensionUniqueName="[routes]" displayFolder="" count="0" memberValueDatatype="130" unbalanced="0"/>
    <cacheHierarchy uniqueName="[routes].[StartLocation]" caption="StartLocation" attribute="1" defaultMemberUniqueName="[routes].[StartLocation].[All]" allUniqueName="[routes].[StartLocation].[All]" dimensionUniqueName="[routes]" displayFolder="" count="0" memberValueDatatype="130" unbalanced="0"/>
    <cacheHierarchy uniqueName="[routes].[EndLocation]" caption="EndLocation" attribute="1" defaultMemberUniqueName="[routes].[EndLocation].[All]" allUniqueName="[routes].[EndLocation].[All]" dimensionUniqueName="[routes]" displayFolder="" count="0" memberValueDatatype="130" unbalanced="0"/>
    <cacheHierarchy uniqueName="[routes].[TripFee]" caption="TripFee" attribute="1" defaultMemberUniqueName="[routes].[TripFee].[All]" allUniqueName="[routes].[TripFee].[All]" dimensionUniqueName="[routes]" displayFolder="" count="0" memberValueDatatype="20" unbalanced="0"/>
    <cacheHierarchy uniqueName="[routes].[TakeOffTime]" caption="TakeOffTime" attribute="1" time="1" defaultMemberUniqueName="[routes].[TakeOffTime].[All]" allUniqueName="[routes].[TakeOffTime].[All]" dimensionUniqueName="[routes]" displayFolder="" count="0" memberValueDatatype="7" unbalanced="0"/>
    <cacheHierarchy uniqueName="[routes].[ArrivalTime]" caption="ArrivalTime" attribute="1" time="1" defaultMemberUniqueName="[routes].[ArrivalTime].[All]" allUniqueName="[routes].[ArrivalTime].[All]" dimensionUniqueName="[routes]" displayFolder="" count="0" memberValueDatatype="7" unbalanced="0"/>
    <cacheHierarchy uniqueName="[Measures].[Sum of Age]" caption="Sum of Age" measure="1" displayFolder="" measureGroup="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Age]" caption="Count of Age" measure="1" displayFolder="" measureGroup="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BusID]" caption="Sum of BusID" measure="1" displayFolder="" measureGroup="bus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BusID]" caption="Count of BusID" measure="1" displayFolder="" measureGroup="bus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iderID]" caption="Sum of RiderID" measure="1" displayFolder="" measureGroup="factable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RiderID]" caption="Count of RiderID" measure="1" displayFolder="" measureGroup="factable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NumberOfRiders]" caption="Sum of NumberOfRiders" measure="1" displayFolder="" measureGroup="factabl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Total Transaction]" caption="Total Transaction" measure="1" displayFolder="" measureGroup="Calculations" count="0"/>
    <cacheHierarchy uniqueName="[Measures].[Average Age]" caption="Average Age" measure="1" displayFolder="" measureGroup="Calculations" count="0"/>
    <cacheHierarchy uniqueName="[Measures].[Total Riders (Passengers)]" caption="Total Riders (Passengers)" measure="1" displayFolder="" measureGroup="Calculations" count="0" oneField="1">
      <fieldsUsage count="1">
        <fieldUsage x="0"/>
      </fieldsUsage>
    </cacheHierarchy>
    <cacheHierarchy uniqueName="[Measures].[Avg. Riders Per Trip]" caption="Avg. Riders Per Trip" measure="1" displayFolder="" measureGroup="Calculations" count="0" oneField="1">
      <fieldsUsage count="1">
        <fieldUsage x="1"/>
      </fieldsUsage>
    </cacheHierarchy>
    <cacheHierarchy uniqueName="[Measures].[Total Buses]" caption="Total Buses" measure="1" displayFolder="" measureGroup="Calculations" count="0"/>
    <cacheHierarchy uniqueName="[Measures].[__XL_Count buses]" caption="__XL_Count buses" measure="1" displayFolder="" measureGroup="buses" count="0" hidden="1"/>
    <cacheHierarchy uniqueName="[Measures].[__XL_Count demographics]" caption="__XL_Count demographics" measure="1" displayFolder="" measureGroup="demographics" count="0" hidden="1"/>
    <cacheHierarchy uniqueName="[Measures].[__XL_Count routes]" caption="__XL_Count routes" measure="1" displayFolder="" measureGroup="routes" count="0" hidden="1"/>
    <cacheHierarchy uniqueName="[Measures].[__XL_Count factable]" caption="__XL_Count factable" measure="1" displayFolder="" measureGroup="factable" count="0" hidden="1"/>
    <cacheHierarchy uniqueName="[Measures].[__XL_Count date]" caption="__XL_Count date" measure="1" displayFolder="" measureGroup="dat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buses" uniqueName="[buses]" caption="buses"/>
    <dimension name="Calculations" uniqueName="[Calculations]" caption="Calculations"/>
    <dimension name="date" uniqueName="[date]" caption="date"/>
    <dimension name="demographics" uniqueName="[demographics]" caption="demographics"/>
    <dimension name="factable" uniqueName="[factable]" caption="factable"/>
    <dimension measure="1" name="Measures" uniqueName="[Measures]" caption="Measures"/>
    <dimension name="routes" uniqueName="[routes]" caption="routes"/>
  </dimensions>
  <measureGroups count="6">
    <measureGroup name="buses" caption="buses"/>
    <measureGroup name="Calculations" caption="Calculations"/>
    <measureGroup name="date" caption="date"/>
    <measureGroup name="demographics" caption="demographics"/>
    <measureGroup name="factable" caption="factable"/>
    <measureGroup name="routes" caption="routes"/>
  </measureGroups>
  <maps count="11">
    <map measureGroup="0" dimension="0"/>
    <map measureGroup="0" dimension="6"/>
    <map measureGroup="1" dimension="1"/>
    <map measureGroup="2" dimension="2"/>
    <map measureGroup="3" dimension="3"/>
    <map measureGroup="4" dimension="0"/>
    <map measureGroup="4" dimension="2"/>
    <map measureGroup="4" dimension="3"/>
    <map measureGroup="4" dimension="4"/>
    <map measureGroup="4" dimension="6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904.507603472222" createdVersion="5" refreshedVersion="8" minRefreshableVersion="3" recordCount="0" supportSubquery="1" supportAdvancedDrill="1" xr:uid="{228DA0A6-AAC7-41AD-9FB2-534905498A98}">
  <cacheSource type="external" connectionId="7"/>
  <cacheFields count="2">
    <cacheField name="[Measures].[Total Riders (Passengers)]" caption="Total Riders (Passengers)" numFmtId="0" hierarchy="46" level="32767"/>
    <cacheField name="[routes].[RouteName].[RouteName]" caption="RouteName" numFmtId="0" hierarchy="31" level="1">
      <sharedItems count="1">
        <s v="East-West Express"/>
      </sharedItems>
    </cacheField>
  </cacheFields>
  <cacheHierarchies count="56">
    <cacheHierarchy uniqueName="[buses].[BusID]" caption="BusID" attribute="1" defaultMemberUniqueName="[buses].[BusID].[All]" allUniqueName="[buses].[BusID].[All]" dimensionUniqueName="[buses]" displayFolder="" count="0" memberValueDatatype="20" unbalanced="0"/>
    <cacheHierarchy uniqueName="[buses].[RouteID]" caption="RouteID" attribute="1" defaultMemberUniqueName="[buses].[RouteID].[All]" allUniqueName="[buses].[RouteID].[All]" dimensionUniqueName="[buses]" displayFolder="" count="0" memberValueDatatype="20" unbalanced="0"/>
    <cacheHierarchy uniqueName="[buses].[BusNumber]" caption="BusNumber" attribute="1" defaultMemberUniqueName="[buses].[BusNumber].[All]" allUniqueName="[buses].[BusNumber].[All]" dimensionUniqueName="[buses]" displayFolder="" count="0" memberValueDatatype="130" unbalanced="0"/>
    <cacheHierarchy uniqueName="[buses].[Capacity]" caption="Capacity" attribute="1" defaultMemberUniqueName="[buses].[Capacity].[All]" allUniqueName="[buses].[Capacity].[All]" dimensionUniqueName="[buses]" displayFolder="" count="0" memberValueDatatype="20" unbalanced="0"/>
    <cacheHierarchy uniqueName="[Calculations].[Calculations]" caption="Calculations" attribute="1" defaultMemberUniqueName="[Calculations].[Calculations].[All]" allUniqueName="[Calculations].[Calculations].[All]" dimensionUniqueName="[Calculations]" displayFolder="" count="0" memberValueDatatype="130" unbalanced="0"/>
    <cacheHierarchy uniqueName="[date].[Date]" caption="Date" attribute="1" time="1" defaultMemberUniqueName="[date].[Date].[All]" allUniqueName="[date].[Dat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Month Name]" caption="Month Name" attribute="1" defaultMemberUniqueName="[date].[Month Name].[All]" allUniqueName="[date].[Month Name].[All]" dimensionUniqueName="[date]" displayFolder="" count="0" memberValueDatatype="130" unbalanced="0"/>
    <cacheHierarchy uniqueName="[date].[Month Number]" caption="Month Number" attribute="1" defaultMemberUniqueName="[date].[Month Number].[All]" allUniqueName="[date].[Month Number].[All]" dimensionUniqueName="[date]" displayFolder="" count="0" memberValueDatatype="20" unbalanced="0"/>
    <cacheHierarchy uniqueName="[date].[Day Name]" caption="Day Name" attribute="1" defaultMemberUniqueName="[date].[Day Name].[All]" allUniqueName="[date].[Day Name].[All]" dimensionUniqueName="[date]" displayFolder="" count="0" memberValueDatatype="130" unbalanced="0"/>
    <cacheHierarchy uniqueName="[date].[Day of Week]" caption="Day of Week" attribute="1" defaultMemberUniqueName="[date].[Day of Week].[All]" allUniqueName="[date].[Day of Week].[All]" dimensionUniqueName="[date]" displayFolder="" count="0" memberValueDatatype="20" unbalanced="0"/>
    <cacheHierarchy uniqueName="[date].[WeekType]" caption="WeekType" attribute="1" defaultMemberUniqueName="[date].[WeekType].[All]" allUniqueName="[date].[WeekType].[All]" dimensionUniqueName="[date]" displayFolder="" count="0" memberValueDatatype="130" unbalanced="0"/>
    <cacheHierarchy uniqueName="[demographics].[RiderID]" caption="RiderID" attribute="1" defaultMemberUniqueName="[demographics].[RiderID].[All]" allUniqueName="[demographics].[RiderID].[All]" dimensionUniqueName="[demographics]" displayFolder="" count="0" memberValueDatatype="20" unbalanced="0"/>
    <cacheHierarchy uniqueName="[demographics].[Age]" caption="Age" attribute="1" defaultMemberUniqueName="[demographics].[Age].[All]" allUniqueName="[demographics].[Age].[All]" dimensionUniqueName="[demographics]" displayFolder="" count="0" memberValueDatatype="20" unbalanced="0"/>
    <cacheHierarchy uniqueName="[demographics].[Gender]" caption="Gender" attribute="1" defaultMemberUniqueName="[demographics].[Gender].[All]" allUniqueName="[demographics].[Gender].[All]" dimensionUniqueName="[demographics]" displayFolder="" count="0" memberValueDatatype="130" unbalanced="0"/>
    <cacheHierarchy uniqueName="[demographics].[Occupation]" caption="Occupation" attribute="1" defaultMemberUniqueName="[demographics].[Occupation].[All]" allUniqueName="[demographics].[Occupation].[All]" dimensionUniqueName="[demographics]" displayFolder="" count="0" memberValueDatatype="130" unbalanced="0"/>
    <cacheHierarchy uniqueName="[demographics].[AgeBracket]" caption="AgeBracket" attribute="1" defaultMemberUniqueName="[demographics].[AgeBracket].[All]" allUniqueName="[demographics].[AgeBracket].[All]" dimensionUniqueName="[demographics]" displayFolder="" count="0" memberValueDatatype="130" unbalanced="0"/>
    <cacheHierarchy uniqueName="[factable].[RecordID]" caption="RecordID" attribute="1" defaultMemberUniqueName="[factable].[RecordID].[All]" allUniqueName="[factable].[RecordID].[All]" dimensionUniqueName="[factable]" displayFolder="" count="0" memberValueDatatype="20" unbalanced="0"/>
    <cacheHierarchy uniqueName="[factable].[BusID]" caption="BusID" attribute="1" defaultMemberUniqueName="[factable].[BusID].[All]" allUniqueName="[factable].[BusID].[All]" dimensionUniqueName="[factable]" displayFolder="" count="0" memberValueDatatype="20" unbalanced="0"/>
    <cacheHierarchy uniqueName="[factable].[Date]" caption="Date" attribute="1" time="1" defaultMemberUniqueName="[factable].[Date].[All]" allUniqueName="[factable].[Date].[All]" dimensionUniqueName="[factable]" displayFolder="" count="0" memberValueDatatype="7" unbalanced="0"/>
    <cacheHierarchy uniqueName="[factable].[Time]" caption="Time" attribute="1" time="1" defaultMemberUniqueName="[factable].[Time].[All]" allUniqueName="[factable].[Time].[All]" dimensionUniqueName="[factable]" displayFolder="" count="0" memberValueDatatype="7" unbalanced="0"/>
    <cacheHierarchy uniqueName="[factable].[Operation Moment]" caption="Operation Moment" attribute="1" defaultMemberUniqueName="[factable].[Operation Moment].[All]" allUniqueName="[factable].[Operation Moment].[All]" dimensionUniqueName="[factable]" displayFolder="" count="0" memberValueDatatype="130" unbalanced="0"/>
    <cacheHierarchy uniqueName="[factable].[NumberOfRiders]" caption="NumberOfRiders" attribute="1" defaultMemberUniqueName="[factable].[NumberOfRiders].[All]" allUniqueName="[factable].[NumberOfRiders].[All]" dimensionUniqueName="[factable]" displayFolder="" count="0" memberValueDatatype="20" unbalanced="0"/>
    <cacheHierarchy uniqueName="[factable].[RiderID]" caption="RiderID" attribute="1" defaultMemberUniqueName="[factable].[RiderID].[All]" allUniqueName="[factable].[RiderID].[All]" dimensionUniqueName="[factable]" displayFolder="" count="0" memberValueDatatype="20" unbalanced="0"/>
    <cacheHierarchy uniqueName="[factable].[Time Segmentation]" caption="Time Segmentation" attribute="1" defaultMemberUniqueName="[factable].[Time Segmentation].[All]" allUniqueName="[factable].[Time Segmentation].[All]" dimensionUniqueName="[factable]" displayFolder="" count="0" memberValueDatatype="130" unbalanced="0"/>
    <cacheHierarchy uniqueName="[factable].[Capacity]" caption="Capacity" attribute="1" defaultMemberUniqueName="[factable].[Capacity].[All]" allUniqueName="[factable].[Capacity].[All]" dimensionUniqueName="[factable]" displayFolder="" count="0" memberValueDatatype="20" unbalanced="0"/>
    <cacheHierarchy uniqueName="[factable].[Utilization Percentage]" caption="Utilization Percentage" attribute="1" defaultMemberUniqueName="[factable].[Utilization Percentage].[All]" allUniqueName="[factable].[Utilization Percentage].[All]" dimensionUniqueName="[factable]" displayFolder="" count="0" memberValueDatatype="5" unbalanced="0"/>
    <cacheHierarchy uniqueName="[factable].[Utilization Criterion]" caption="Utilization Criterion" attribute="1" defaultMemberUniqueName="[factable].[Utilization Criterion].[All]" allUniqueName="[factable].[Utilization Criterion].[All]" dimensionUniqueName="[factable]" displayFolder="" count="0" memberValueDatatype="130" unbalanced="0"/>
    <cacheHierarchy uniqueName="[factable].[Time (Hour)]" caption="Time (Hour)" attribute="1" defaultMemberUniqueName="[factable].[Time (Hour)].[All]" allUniqueName="[factable].[Time (Hour)].[All]" dimensionUniqueName="[factable]" displayFolder="" count="0" memberValueDatatype="130" unbalanced="0"/>
    <cacheHierarchy uniqueName="[factable].[Time (Minute)]" caption="Time (Minute)" attribute="1" defaultMemberUniqueName="[factable].[Time (Minute)].[All]" allUniqueName="[factable].[Time (Minute)].[All]" dimensionUniqueName="[factable]" displayFolder="" count="0" memberValueDatatype="130" unbalanced="0"/>
    <cacheHierarchy uniqueName="[routes].[RouteID]" caption="RouteID" attribute="1" defaultMemberUniqueName="[routes].[RouteID].[All]" allUniqueName="[routes].[RouteID].[All]" dimensionUniqueName="[routes]" displayFolder="" count="0" memberValueDatatype="20" unbalanced="0"/>
    <cacheHierarchy uniqueName="[routes].[RouteName]" caption="RouteName" attribute="1" defaultMemberUniqueName="[routes].[RouteName].[All]" allUniqueName="[routes].[RouteName].[All]" dimensionUniqueName="[routes]" displayFolder="" count="2" memberValueDatatype="130" unbalanced="0">
      <fieldsUsage count="2">
        <fieldUsage x="-1"/>
        <fieldUsage x="1"/>
      </fieldsUsage>
    </cacheHierarchy>
    <cacheHierarchy uniqueName="[routes].[StartLocation]" caption="StartLocation" attribute="1" defaultMemberUniqueName="[routes].[StartLocation].[All]" allUniqueName="[routes].[StartLocation].[All]" dimensionUniqueName="[routes]" displayFolder="" count="0" memberValueDatatype="130" unbalanced="0"/>
    <cacheHierarchy uniqueName="[routes].[EndLocation]" caption="EndLocation" attribute="1" defaultMemberUniqueName="[routes].[EndLocation].[All]" allUniqueName="[routes].[EndLocation].[All]" dimensionUniqueName="[routes]" displayFolder="" count="0" memberValueDatatype="130" unbalanced="0"/>
    <cacheHierarchy uniqueName="[routes].[TripFee]" caption="TripFee" attribute="1" defaultMemberUniqueName="[routes].[TripFee].[All]" allUniqueName="[routes].[TripFee].[All]" dimensionUniqueName="[routes]" displayFolder="" count="0" memberValueDatatype="20" unbalanced="0"/>
    <cacheHierarchy uniqueName="[routes].[TakeOffTime]" caption="TakeOffTime" attribute="1" time="1" defaultMemberUniqueName="[routes].[TakeOffTime].[All]" allUniqueName="[routes].[TakeOffTime].[All]" dimensionUniqueName="[routes]" displayFolder="" count="0" memberValueDatatype="7" unbalanced="0"/>
    <cacheHierarchy uniqueName="[routes].[ArrivalTime]" caption="ArrivalTime" attribute="1" time="1" defaultMemberUniqueName="[routes].[ArrivalTime].[All]" allUniqueName="[routes].[ArrivalTime].[All]" dimensionUniqueName="[routes]" displayFolder="" count="0" memberValueDatatype="7" unbalanced="0"/>
    <cacheHierarchy uniqueName="[Measures].[Sum of Age]" caption="Sum of Age" measure="1" displayFolder="" measureGroup="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Age]" caption="Count of Age" measure="1" displayFolder="" measureGroup="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BusID]" caption="Sum of BusID" measure="1" displayFolder="" measureGroup="bus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BusID]" caption="Count of BusID" measure="1" displayFolder="" measureGroup="bus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iderID]" caption="Sum of RiderID" measure="1" displayFolder="" measureGroup="factable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RiderID]" caption="Count of RiderID" measure="1" displayFolder="" measureGroup="factable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NumberOfRiders]" caption="Sum of NumberOfRiders" measure="1" displayFolder="" measureGroup="factabl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Total Transaction]" caption="Total Transaction" measure="1" displayFolder="" measureGroup="Calculations" count="0"/>
    <cacheHierarchy uniqueName="[Measures].[Average Age]" caption="Average Age" measure="1" displayFolder="" measureGroup="Calculations" count="0"/>
    <cacheHierarchy uniqueName="[Measures].[Total Riders (Passengers)]" caption="Total Riders (Passengers)" measure="1" displayFolder="" measureGroup="Calculations" count="0" oneField="1">
      <fieldsUsage count="1">
        <fieldUsage x="0"/>
      </fieldsUsage>
    </cacheHierarchy>
    <cacheHierarchy uniqueName="[Measures].[Avg. Riders Per Trip]" caption="Avg. Riders Per Trip" measure="1" displayFolder="" measureGroup="Calculations" count="0"/>
    <cacheHierarchy uniqueName="[Measures].[Total Buses]" caption="Total Buses" measure="1" displayFolder="" measureGroup="Calculations" count="0"/>
    <cacheHierarchy uniqueName="[Measures].[__XL_Count buses]" caption="__XL_Count buses" measure="1" displayFolder="" measureGroup="buses" count="0" hidden="1"/>
    <cacheHierarchy uniqueName="[Measures].[__XL_Count demographics]" caption="__XL_Count demographics" measure="1" displayFolder="" measureGroup="demographics" count="0" hidden="1"/>
    <cacheHierarchy uniqueName="[Measures].[__XL_Count routes]" caption="__XL_Count routes" measure="1" displayFolder="" measureGroup="routes" count="0" hidden="1"/>
    <cacheHierarchy uniqueName="[Measures].[__XL_Count factable]" caption="__XL_Count factable" measure="1" displayFolder="" measureGroup="factable" count="0" hidden="1"/>
    <cacheHierarchy uniqueName="[Measures].[__XL_Count date]" caption="__XL_Count date" measure="1" displayFolder="" measureGroup="dat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buses" uniqueName="[buses]" caption="buses"/>
    <dimension name="Calculations" uniqueName="[Calculations]" caption="Calculations"/>
    <dimension name="date" uniqueName="[date]" caption="date"/>
    <dimension name="demographics" uniqueName="[demographics]" caption="demographics"/>
    <dimension name="factable" uniqueName="[factable]" caption="factable"/>
    <dimension measure="1" name="Measures" uniqueName="[Measures]" caption="Measures"/>
    <dimension name="routes" uniqueName="[routes]" caption="routes"/>
  </dimensions>
  <measureGroups count="6">
    <measureGroup name="buses" caption="buses"/>
    <measureGroup name="Calculations" caption="Calculations"/>
    <measureGroup name="date" caption="date"/>
    <measureGroup name="demographics" caption="demographics"/>
    <measureGroup name="factable" caption="factable"/>
    <measureGroup name="routes" caption="routes"/>
  </measureGroups>
  <maps count="11">
    <map measureGroup="0" dimension="0"/>
    <map measureGroup="0" dimension="6"/>
    <map measureGroup="1" dimension="1"/>
    <map measureGroup="2" dimension="2"/>
    <map measureGroup="3" dimension="3"/>
    <map measureGroup="4" dimension="0"/>
    <map measureGroup="4" dimension="2"/>
    <map measureGroup="4" dimension="3"/>
    <map measureGroup="4" dimension="4"/>
    <map measureGroup="4" dimension="6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904.507604629631" createdVersion="5" refreshedVersion="8" minRefreshableVersion="3" recordCount="0" supportSubquery="1" supportAdvancedDrill="1" xr:uid="{4983B038-5054-4C90-8FAD-8E4EBB503F94}">
  <cacheSource type="external" connectionId="7"/>
  <cacheFields count="2">
    <cacheField name="[Measures].[Total Riders (Passengers)]" caption="Total Riders (Passengers)" numFmtId="0" hierarchy="46" level="32767"/>
    <cacheField name="[routes].[RouteName].[RouteName]" caption="RouteName" numFmtId="0" hierarchy="31" level="1">
      <sharedItems count="1">
        <s v="South Line"/>
      </sharedItems>
    </cacheField>
  </cacheFields>
  <cacheHierarchies count="56">
    <cacheHierarchy uniqueName="[buses].[BusID]" caption="BusID" attribute="1" defaultMemberUniqueName="[buses].[BusID].[All]" allUniqueName="[buses].[BusID].[All]" dimensionUniqueName="[buses]" displayFolder="" count="0" memberValueDatatype="20" unbalanced="0"/>
    <cacheHierarchy uniqueName="[buses].[RouteID]" caption="RouteID" attribute="1" defaultMemberUniqueName="[buses].[RouteID].[All]" allUniqueName="[buses].[RouteID].[All]" dimensionUniqueName="[buses]" displayFolder="" count="0" memberValueDatatype="20" unbalanced="0"/>
    <cacheHierarchy uniqueName="[buses].[BusNumber]" caption="BusNumber" attribute="1" defaultMemberUniqueName="[buses].[BusNumber].[All]" allUniqueName="[buses].[BusNumber].[All]" dimensionUniqueName="[buses]" displayFolder="" count="0" memberValueDatatype="130" unbalanced="0"/>
    <cacheHierarchy uniqueName="[buses].[Capacity]" caption="Capacity" attribute="1" defaultMemberUniqueName="[buses].[Capacity].[All]" allUniqueName="[buses].[Capacity].[All]" dimensionUniqueName="[buses]" displayFolder="" count="0" memberValueDatatype="20" unbalanced="0"/>
    <cacheHierarchy uniqueName="[Calculations].[Calculations]" caption="Calculations" attribute="1" defaultMemberUniqueName="[Calculations].[Calculations].[All]" allUniqueName="[Calculations].[Calculations].[All]" dimensionUniqueName="[Calculations]" displayFolder="" count="0" memberValueDatatype="130" unbalanced="0"/>
    <cacheHierarchy uniqueName="[date].[Date]" caption="Date" attribute="1" time="1" defaultMemberUniqueName="[date].[Date].[All]" allUniqueName="[date].[Dat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Month Name]" caption="Month Name" attribute="1" defaultMemberUniqueName="[date].[Month Name].[All]" allUniqueName="[date].[Month Name].[All]" dimensionUniqueName="[date]" displayFolder="" count="0" memberValueDatatype="130" unbalanced="0"/>
    <cacheHierarchy uniqueName="[date].[Month Number]" caption="Month Number" attribute="1" defaultMemberUniqueName="[date].[Month Number].[All]" allUniqueName="[date].[Month Number].[All]" dimensionUniqueName="[date]" displayFolder="" count="0" memberValueDatatype="20" unbalanced="0"/>
    <cacheHierarchy uniqueName="[date].[Day Name]" caption="Day Name" attribute="1" defaultMemberUniqueName="[date].[Day Name].[All]" allUniqueName="[date].[Day Name].[All]" dimensionUniqueName="[date]" displayFolder="" count="0" memberValueDatatype="130" unbalanced="0"/>
    <cacheHierarchy uniqueName="[date].[Day of Week]" caption="Day of Week" attribute="1" defaultMemberUniqueName="[date].[Day of Week].[All]" allUniqueName="[date].[Day of Week].[All]" dimensionUniqueName="[date]" displayFolder="" count="0" memberValueDatatype="20" unbalanced="0"/>
    <cacheHierarchy uniqueName="[date].[WeekType]" caption="WeekType" attribute="1" defaultMemberUniqueName="[date].[WeekType].[All]" allUniqueName="[date].[WeekType].[All]" dimensionUniqueName="[date]" displayFolder="" count="0" memberValueDatatype="130" unbalanced="0"/>
    <cacheHierarchy uniqueName="[demographics].[RiderID]" caption="RiderID" attribute="1" defaultMemberUniqueName="[demographics].[RiderID].[All]" allUniqueName="[demographics].[RiderID].[All]" dimensionUniqueName="[demographics]" displayFolder="" count="0" memberValueDatatype="20" unbalanced="0"/>
    <cacheHierarchy uniqueName="[demographics].[Age]" caption="Age" attribute="1" defaultMemberUniqueName="[demographics].[Age].[All]" allUniqueName="[demographics].[Age].[All]" dimensionUniqueName="[demographics]" displayFolder="" count="0" memberValueDatatype="20" unbalanced="0"/>
    <cacheHierarchy uniqueName="[demographics].[Gender]" caption="Gender" attribute="1" defaultMemberUniqueName="[demographics].[Gender].[All]" allUniqueName="[demographics].[Gender].[All]" dimensionUniqueName="[demographics]" displayFolder="" count="0" memberValueDatatype="130" unbalanced="0"/>
    <cacheHierarchy uniqueName="[demographics].[Occupation]" caption="Occupation" attribute="1" defaultMemberUniqueName="[demographics].[Occupation].[All]" allUniqueName="[demographics].[Occupation].[All]" dimensionUniqueName="[demographics]" displayFolder="" count="0" memberValueDatatype="130" unbalanced="0"/>
    <cacheHierarchy uniqueName="[demographics].[AgeBracket]" caption="AgeBracket" attribute="1" defaultMemberUniqueName="[demographics].[AgeBracket].[All]" allUniqueName="[demographics].[AgeBracket].[All]" dimensionUniqueName="[demographics]" displayFolder="" count="0" memberValueDatatype="130" unbalanced="0"/>
    <cacheHierarchy uniqueName="[factable].[RecordID]" caption="RecordID" attribute="1" defaultMemberUniqueName="[factable].[RecordID].[All]" allUniqueName="[factable].[RecordID].[All]" dimensionUniqueName="[factable]" displayFolder="" count="0" memberValueDatatype="20" unbalanced="0"/>
    <cacheHierarchy uniqueName="[factable].[BusID]" caption="BusID" attribute="1" defaultMemberUniqueName="[factable].[BusID].[All]" allUniqueName="[factable].[BusID].[All]" dimensionUniqueName="[factable]" displayFolder="" count="0" memberValueDatatype="20" unbalanced="0"/>
    <cacheHierarchy uniqueName="[factable].[Date]" caption="Date" attribute="1" time="1" defaultMemberUniqueName="[factable].[Date].[All]" allUniqueName="[factable].[Date].[All]" dimensionUniqueName="[factable]" displayFolder="" count="0" memberValueDatatype="7" unbalanced="0"/>
    <cacheHierarchy uniqueName="[factable].[Time]" caption="Time" attribute="1" time="1" defaultMemberUniqueName="[factable].[Time].[All]" allUniqueName="[factable].[Time].[All]" dimensionUniqueName="[factable]" displayFolder="" count="0" memberValueDatatype="7" unbalanced="0"/>
    <cacheHierarchy uniqueName="[factable].[Operation Moment]" caption="Operation Moment" attribute="1" defaultMemberUniqueName="[factable].[Operation Moment].[All]" allUniqueName="[factable].[Operation Moment].[All]" dimensionUniqueName="[factable]" displayFolder="" count="0" memberValueDatatype="130" unbalanced="0"/>
    <cacheHierarchy uniqueName="[factable].[NumberOfRiders]" caption="NumberOfRiders" attribute="1" defaultMemberUniqueName="[factable].[NumberOfRiders].[All]" allUniqueName="[factable].[NumberOfRiders].[All]" dimensionUniqueName="[factable]" displayFolder="" count="0" memberValueDatatype="20" unbalanced="0"/>
    <cacheHierarchy uniqueName="[factable].[RiderID]" caption="RiderID" attribute="1" defaultMemberUniqueName="[factable].[RiderID].[All]" allUniqueName="[factable].[RiderID].[All]" dimensionUniqueName="[factable]" displayFolder="" count="0" memberValueDatatype="20" unbalanced="0"/>
    <cacheHierarchy uniqueName="[factable].[Time Segmentation]" caption="Time Segmentation" attribute="1" defaultMemberUniqueName="[factable].[Time Segmentation].[All]" allUniqueName="[factable].[Time Segmentation].[All]" dimensionUniqueName="[factable]" displayFolder="" count="0" memberValueDatatype="130" unbalanced="0"/>
    <cacheHierarchy uniqueName="[factable].[Capacity]" caption="Capacity" attribute="1" defaultMemberUniqueName="[factable].[Capacity].[All]" allUniqueName="[factable].[Capacity].[All]" dimensionUniqueName="[factable]" displayFolder="" count="0" memberValueDatatype="20" unbalanced="0"/>
    <cacheHierarchy uniqueName="[factable].[Utilization Percentage]" caption="Utilization Percentage" attribute="1" defaultMemberUniqueName="[factable].[Utilization Percentage].[All]" allUniqueName="[factable].[Utilization Percentage].[All]" dimensionUniqueName="[factable]" displayFolder="" count="0" memberValueDatatype="5" unbalanced="0"/>
    <cacheHierarchy uniqueName="[factable].[Utilization Criterion]" caption="Utilization Criterion" attribute="1" defaultMemberUniqueName="[factable].[Utilization Criterion].[All]" allUniqueName="[factable].[Utilization Criterion].[All]" dimensionUniqueName="[factable]" displayFolder="" count="0" memberValueDatatype="130" unbalanced="0"/>
    <cacheHierarchy uniqueName="[factable].[Time (Hour)]" caption="Time (Hour)" attribute="1" defaultMemberUniqueName="[factable].[Time (Hour)].[All]" allUniqueName="[factable].[Time (Hour)].[All]" dimensionUniqueName="[factable]" displayFolder="" count="0" memberValueDatatype="130" unbalanced="0"/>
    <cacheHierarchy uniqueName="[factable].[Time (Minute)]" caption="Time (Minute)" attribute="1" defaultMemberUniqueName="[factable].[Time (Minute)].[All]" allUniqueName="[factable].[Time (Minute)].[All]" dimensionUniqueName="[factable]" displayFolder="" count="0" memberValueDatatype="130" unbalanced="0"/>
    <cacheHierarchy uniqueName="[routes].[RouteID]" caption="RouteID" attribute="1" defaultMemberUniqueName="[routes].[RouteID].[All]" allUniqueName="[routes].[RouteID].[All]" dimensionUniqueName="[routes]" displayFolder="" count="0" memberValueDatatype="20" unbalanced="0"/>
    <cacheHierarchy uniqueName="[routes].[RouteName]" caption="RouteName" attribute="1" defaultMemberUniqueName="[routes].[RouteName].[All]" allUniqueName="[routes].[RouteName].[All]" dimensionUniqueName="[routes]" displayFolder="" count="2" memberValueDatatype="130" unbalanced="0">
      <fieldsUsage count="2">
        <fieldUsage x="-1"/>
        <fieldUsage x="1"/>
      </fieldsUsage>
    </cacheHierarchy>
    <cacheHierarchy uniqueName="[routes].[StartLocation]" caption="StartLocation" attribute="1" defaultMemberUniqueName="[routes].[StartLocation].[All]" allUniqueName="[routes].[StartLocation].[All]" dimensionUniqueName="[routes]" displayFolder="" count="0" memberValueDatatype="130" unbalanced="0"/>
    <cacheHierarchy uniqueName="[routes].[EndLocation]" caption="EndLocation" attribute="1" defaultMemberUniqueName="[routes].[EndLocation].[All]" allUniqueName="[routes].[EndLocation].[All]" dimensionUniqueName="[routes]" displayFolder="" count="0" memberValueDatatype="130" unbalanced="0"/>
    <cacheHierarchy uniqueName="[routes].[TripFee]" caption="TripFee" attribute="1" defaultMemberUniqueName="[routes].[TripFee].[All]" allUniqueName="[routes].[TripFee].[All]" dimensionUniqueName="[routes]" displayFolder="" count="0" memberValueDatatype="20" unbalanced="0"/>
    <cacheHierarchy uniqueName="[routes].[TakeOffTime]" caption="TakeOffTime" attribute="1" time="1" defaultMemberUniqueName="[routes].[TakeOffTime].[All]" allUniqueName="[routes].[TakeOffTime].[All]" dimensionUniqueName="[routes]" displayFolder="" count="0" memberValueDatatype="7" unbalanced="0"/>
    <cacheHierarchy uniqueName="[routes].[ArrivalTime]" caption="ArrivalTime" attribute="1" time="1" defaultMemberUniqueName="[routes].[ArrivalTime].[All]" allUniqueName="[routes].[ArrivalTime].[All]" dimensionUniqueName="[routes]" displayFolder="" count="0" memberValueDatatype="7" unbalanced="0"/>
    <cacheHierarchy uniqueName="[Measures].[Sum of Age]" caption="Sum of Age" measure="1" displayFolder="" measureGroup="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Age]" caption="Count of Age" measure="1" displayFolder="" measureGroup="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BusID]" caption="Sum of BusID" measure="1" displayFolder="" measureGroup="bus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BusID]" caption="Count of BusID" measure="1" displayFolder="" measureGroup="bus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iderID]" caption="Sum of RiderID" measure="1" displayFolder="" measureGroup="factable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RiderID]" caption="Count of RiderID" measure="1" displayFolder="" measureGroup="factable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NumberOfRiders]" caption="Sum of NumberOfRiders" measure="1" displayFolder="" measureGroup="factabl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Total Transaction]" caption="Total Transaction" measure="1" displayFolder="" measureGroup="Calculations" count="0"/>
    <cacheHierarchy uniqueName="[Measures].[Average Age]" caption="Average Age" measure="1" displayFolder="" measureGroup="Calculations" count="0"/>
    <cacheHierarchy uniqueName="[Measures].[Total Riders (Passengers)]" caption="Total Riders (Passengers)" measure="1" displayFolder="" measureGroup="Calculations" count="0" oneField="1">
      <fieldsUsage count="1">
        <fieldUsage x="0"/>
      </fieldsUsage>
    </cacheHierarchy>
    <cacheHierarchy uniqueName="[Measures].[Avg. Riders Per Trip]" caption="Avg. Riders Per Trip" measure="1" displayFolder="" measureGroup="Calculations" count="0"/>
    <cacheHierarchy uniqueName="[Measures].[Total Buses]" caption="Total Buses" measure="1" displayFolder="" measureGroup="Calculations" count="0"/>
    <cacheHierarchy uniqueName="[Measures].[__XL_Count buses]" caption="__XL_Count buses" measure="1" displayFolder="" measureGroup="buses" count="0" hidden="1"/>
    <cacheHierarchy uniqueName="[Measures].[__XL_Count demographics]" caption="__XL_Count demographics" measure="1" displayFolder="" measureGroup="demographics" count="0" hidden="1"/>
    <cacheHierarchy uniqueName="[Measures].[__XL_Count routes]" caption="__XL_Count routes" measure="1" displayFolder="" measureGroup="routes" count="0" hidden="1"/>
    <cacheHierarchy uniqueName="[Measures].[__XL_Count factable]" caption="__XL_Count factable" measure="1" displayFolder="" measureGroup="factable" count="0" hidden="1"/>
    <cacheHierarchy uniqueName="[Measures].[__XL_Count date]" caption="__XL_Count date" measure="1" displayFolder="" measureGroup="dat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buses" uniqueName="[buses]" caption="buses"/>
    <dimension name="Calculations" uniqueName="[Calculations]" caption="Calculations"/>
    <dimension name="date" uniqueName="[date]" caption="date"/>
    <dimension name="demographics" uniqueName="[demographics]" caption="demographics"/>
    <dimension name="factable" uniqueName="[factable]" caption="factable"/>
    <dimension measure="1" name="Measures" uniqueName="[Measures]" caption="Measures"/>
    <dimension name="routes" uniqueName="[routes]" caption="routes"/>
  </dimensions>
  <measureGroups count="6">
    <measureGroup name="buses" caption="buses"/>
    <measureGroup name="Calculations" caption="Calculations"/>
    <measureGroup name="date" caption="date"/>
    <measureGroup name="demographics" caption="demographics"/>
    <measureGroup name="factable" caption="factable"/>
    <measureGroup name="routes" caption="routes"/>
  </measureGroups>
  <maps count="11">
    <map measureGroup="0" dimension="0"/>
    <map measureGroup="0" dimension="6"/>
    <map measureGroup="1" dimension="1"/>
    <map measureGroup="2" dimension="2"/>
    <map measureGroup="3" dimension="3"/>
    <map measureGroup="4" dimension="0"/>
    <map measureGroup="4" dimension="2"/>
    <map measureGroup="4" dimension="3"/>
    <map measureGroup="4" dimension="4"/>
    <map measureGroup="4" dimension="6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904.507606018517" createdVersion="5" refreshedVersion="8" minRefreshableVersion="3" recordCount="0" supportSubquery="1" supportAdvancedDrill="1" xr:uid="{157C513F-960E-480B-8371-CE8EB07347E2}">
  <cacheSource type="external" connectionId="7"/>
  <cacheFields count="4">
    <cacheField name="[Measures].[Total Riders (Passengers)]" caption="Total Riders (Passengers)" numFmtId="0" hierarchy="46" level="32767"/>
    <cacheField name="[routes].[RouteName].[RouteName]" caption="RouteName" numFmtId="0" hierarchy="31" level="1">
      <sharedItems count="1">
        <s v="East-West Express"/>
      </sharedItems>
    </cacheField>
    <cacheField name="[factable].[Time Segmentation].[Time Segmentation]" caption="Time Segmentation" numFmtId="0" hierarchy="24" level="1">
      <sharedItems count="4">
        <s v="1:00 AM - 4:00 AM"/>
        <s v="10:00 AM - 1:00 PM"/>
        <s v="4:00 AM - 7:00 AM"/>
        <s v="7:00 AM - 10:00 AM"/>
      </sharedItems>
    </cacheField>
    <cacheField name="[factable].[Time].[Time]" caption="Time" numFmtId="0" hierarchy="20" level="1">
      <sharedItems containsSemiMixedTypes="0" containsNonDate="0" containsDate="1" containsString="0" minDate="1899-12-30T11:41:00" maxDate="1899-12-30T11:41:00" count="1">
        <d v="1899-12-30T11:41:00"/>
      </sharedItems>
      <extLst>
        <ext xmlns:x15="http://schemas.microsoft.com/office/spreadsheetml/2010/11/main" uri="{4F2E5C28-24EA-4eb8-9CBF-B6C8F9C3D259}">
          <x15:cachedUniqueNames>
            <x15:cachedUniqueName index="0" name="[factable].[Time].&amp;[1899-12-30T11:41:00]"/>
          </x15:cachedUniqueNames>
        </ext>
      </extLst>
    </cacheField>
  </cacheFields>
  <cacheHierarchies count="56">
    <cacheHierarchy uniqueName="[buses].[BusID]" caption="BusID" attribute="1" defaultMemberUniqueName="[buses].[BusID].[All]" allUniqueName="[buses].[BusID].[All]" dimensionUniqueName="[buses]" displayFolder="" count="0" memberValueDatatype="20" unbalanced="0"/>
    <cacheHierarchy uniqueName="[buses].[RouteID]" caption="RouteID" attribute="1" defaultMemberUniqueName="[buses].[RouteID].[All]" allUniqueName="[buses].[RouteID].[All]" dimensionUniqueName="[buses]" displayFolder="" count="0" memberValueDatatype="20" unbalanced="0"/>
    <cacheHierarchy uniqueName="[buses].[BusNumber]" caption="BusNumber" attribute="1" defaultMemberUniqueName="[buses].[BusNumber].[All]" allUniqueName="[buses].[BusNumber].[All]" dimensionUniqueName="[buses]" displayFolder="" count="0" memberValueDatatype="130" unbalanced="0"/>
    <cacheHierarchy uniqueName="[buses].[Capacity]" caption="Capacity" attribute="1" defaultMemberUniqueName="[buses].[Capacity].[All]" allUniqueName="[buses].[Capacity].[All]" dimensionUniqueName="[buses]" displayFolder="" count="0" memberValueDatatype="20" unbalanced="0"/>
    <cacheHierarchy uniqueName="[Calculations].[Calculations]" caption="Calculations" attribute="1" defaultMemberUniqueName="[Calculations].[Calculations].[All]" allUniqueName="[Calculations].[Calculations].[All]" dimensionUniqueName="[Calculations]" displayFolder="" count="0" memberValueDatatype="130" unbalanced="0"/>
    <cacheHierarchy uniqueName="[date].[Date]" caption="Date" attribute="1" time="1" defaultMemberUniqueName="[date].[Date].[All]" allUniqueName="[date].[Dat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Month Name]" caption="Month Name" attribute="1" defaultMemberUniqueName="[date].[Month Name].[All]" allUniqueName="[date].[Month Name].[All]" dimensionUniqueName="[date]" displayFolder="" count="0" memberValueDatatype="130" unbalanced="0"/>
    <cacheHierarchy uniqueName="[date].[Month Number]" caption="Month Number" attribute="1" defaultMemberUniqueName="[date].[Month Number].[All]" allUniqueName="[date].[Month Number].[All]" dimensionUniqueName="[date]" displayFolder="" count="0" memberValueDatatype="20" unbalanced="0"/>
    <cacheHierarchy uniqueName="[date].[Day Name]" caption="Day Name" attribute="1" defaultMemberUniqueName="[date].[Day Name].[All]" allUniqueName="[date].[Day Name].[All]" dimensionUniqueName="[date]" displayFolder="" count="0" memberValueDatatype="130" unbalanced="0"/>
    <cacheHierarchy uniqueName="[date].[Day of Week]" caption="Day of Week" attribute="1" defaultMemberUniqueName="[date].[Day of Week].[All]" allUniqueName="[date].[Day of Week].[All]" dimensionUniqueName="[date]" displayFolder="" count="0" memberValueDatatype="20" unbalanced="0"/>
    <cacheHierarchy uniqueName="[date].[WeekType]" caption="WeekType" attribute="1" defaultMemberUniqueName="[date].[WeekType].[All]" allUniqueName="[date].[WeekType].[All]" dimensionUniqueName="[date]" displayFolder="" count="0" memberValueDatatype="130" unbalanced="0"/>
    <cacheHierarchy uniqueName="[demographics].[RiderID]" caption="RiderID" attribute="1" defaultMemberUniqueName="[demographics].[RiderID].[All]" allUniqueName="[demographics].[RiderID].[All]" dimensionUniqueName="[demographics]" displayFolder="" count="0" memberValueDatatype="20" unbalanced="0"/>
    <cacheHierarchy uniqueName="[demographics].[Age]" caption="Age" attribute="1" defaultMemberUniqueName="[demographics].[Age].[All]" allUniqueName="[demographics].[Age].[All]" dimensionUniqueName="[demographics]" displayFolder="" count="0" memberValueDatatype="20" unbalanced="0"/>
    <cacheHierarchy uniqueName="[demographics].[Gender]" caption="Gender" attribute="1" defaultMemberUniqueName="[demographics].[Gender].[All]" allUniqueName="[demographics].[Gender].[All]" dimensionUniqueName="[demographics]" displayFolder="" count="0" memberValueDatatype="130" unbalanced="0"/>
    <cacheHierarchy uniqueName="[demographics].[Occupation]" caption="Occupation" attribute="1" defaultMemberUniqueName="[demographics].[Occupation].[All]" allUniqueName="[demographics].[Occupation].[All]" dimensionUniqueName="[demographics]" displayFolder="" count="0" memberValueDatatype="130" unbalanced="0"/>
    <cacheHierarchy uniqueName="[demographics].[AgeBracket]" caption="AgeBracket" attribute="1" defaultMemberUniqueName="[demographics].[AgeBracket].[All]" allUniqueName="[demographics].[AgeBracket].[All]" dimensionUniqueName="[demographics]" displayFolder="" count="0" memberValueDatatype="130" unbalanced="0"/>
    <cacheHierarchy uniqueName="[factable].[RecordID]" caption="RecordID" attribute="1" defaultMemberUniqueName="[factable].[RecordID].[All]" allUniqueName="[factable].[RecordID].[All]" dimensionUniqueName="[factable]" displayFolder="" count="0" memberValueDatatype="20" unbalanced="0"/>
    <cacheHierarchy uniqueName="[factable].[BusID]" caption="BusID" attribute="1" defaultMemberUniqueName="[factable].[BusID].[All]" allUniqueName="[factable].[BusID].[All]" dimensionUniqueName="[factable]" displayFolder="" count="0" memberValueDatatype="20" unbalanced="0"/>
    <cacheHierarchy uniqueName="[factable].[Date]" caption="Date" attribute="1" time="1" defaultMemberUniqueName="[factable].[Date].[All]" allUniqueName="[factable].[Date].[All]" dimensionUniqueName="[factable]" displayFolder="" count="0" memberValueDatatype="7" unbalanced="0"/>
    <cacheHierarchy uniqueName="[factable].[Time]" caption="Time" attribute="1" time="1" defaultMemberUniqueName="[factable].[Time].[All]" allUniqueName="[factable].[Time].[All]" dimensionUniqueName="[factable]" displayFolder="" count="2" memberValueDatatype="7" unbalanced="0">
      <fieldsUsage count="2">
        <fieldUsage x="-1"/>
        <fieldUsage x="3"/>
      </fieldsUsage>
    </cacheHierarchy>
    <cacheHierarchy uniqueName="[factable].[Operation Moment]" caption="Operation Moment" attribute="1" defaultMemberUniqueName="[factable].[Operation Moment].[All]" allUniqueName="[factable].[Operation Moment].[All]" dimensionUniqueName="[factable]" displayFolder="" count="0" memberValueDatatype="130" unbalanced="0"/>
    <cacheHierarchy uniqueName="[factable].[NumberOfRiders]" caption="NumberOfRiders" attribute="1" defaultMemberUniqueName="[factable].[NumberOfRiders].[All]" allUniqueName="[factable].[NumberOfRiders].[All]" dimensionUniqueName="[factable]" displayFolder="" count="0" memberValueDatatype="20" unbalanced="0"/>
    <cacheHierarchy uniqueName="[factable].[RiderID]" caption="RiderID" attribute="1" defaultMemberUniqueName="[factable].[RiderID].[All]" allUniqueName="[factable].[RiderID].[All]" dimensionUniqueName="[factable]" displayFolder="" count="0" memberValueDatatype="20" unbalanced="0"/>
    <cacheHierarchy uniqueName="[factable].[Time Segmentation]" caption="Time Segmentation" attribute="1" defaultMemberUniqueName="[factable].[Time Segmentation].[All]" allUniqueName="[factable].[Time Segmentation].[All]" dimensionUniqueName="[factable]" displayFolder="" count="2" memberValueDatatype="130" unbalanced="0">
      <fieldsUsage count="2">
        <fieldUsage x="-1"/>
        <fieldUsage x="2"/>
      </fieldsUsage>
    </cacheHierarchy>
    <cacheHierarchy uniqueName="[factable].[Capacity]" caption="Capacity" attribute="1" defaultMemberUniqueName="[factable].[Capacity].[All]" allUniqueName="[factable].[Capacity].[All]" dimensionUniqueName="[factable]" displayFolder="" count="0" memberValueDatatype="20" unbalanced="0"/>
    <cacheHierarchy uniqueName="[factable].[Utilization Percentage]" caption="Utilization Percentage" attribute="1" defaultMemberUniqueName="[factable].[Utilization Percentage].[All]" allUniqueName="[factable].[Utilization Percentage].[All]" dimensionUniqueName="[factable]" displayFolder="" count="0" memberValueDatatype="5" unbalanced="0"/>
    <cacheHierarchy uniqueName="[factable].[Utilization Criterion]" caption="Utilization Criterion" attribute="1" defaultMemberUniqueName="[factable].[Utilization Criterion].[All]" allUniqueName="[factable].[Utilization Criterion].[All]" dimensionUniqueName="[factable]" displayFolder="" count="0" memberValueDatatype="130" unbalanced="0"/>
    <cacheHierarchy uniqueName="[factable].[Time (Hour)]" caption="Time (Hour)" attribute="1" defaultMemberUniqueName="[factable].[Time (Hour)].[All]" allUniqueName="[factable].[Time (Hour)].[All]" dimensionUniqueName="[factable]" displayFolder="" count="0" memberValueDatatype="130" unbalanced="0"/>
    <cacheHierarchy uniqueName="[factable].[Time (Minute)]" caption="Time (Minute)" attribute="1" defaultMemberUniqueName="[factable].[Time (Minute)].[All]" allUniqueName="[factable].[Time (Minute)].[All]" dimensionUniqueName="[factable]" displayFolder="" count="0" memberValueDatatype="130" unbalanced="0"/>
    <cacheHierarchy uniqueName="[routes].[RouteID]" caption="RouteID" attribute="1" defaultMemberUniqueName="[routes].[RouteID].[All]" allUniqueName="[routes].[RouteID].[All]" dimensionUniqueName="[routes]" displayFolder="" count="0" memberValueDatatype="20" unbalanced="0"/>
    <cacheHierarchy uniqueName="[routes].[RouteName]" caption="RouteName" attribute="1" defaultMemberUniqueName="[routes].[RouteName].[All]" allUniqueName="[routes].[RouteName].[All]" dimensionUniqueName="[routes]" displayFolder="" count="2" memberValueDatatype="130" unbalanced="0">
      <fieldsUsage count="2">
        <fieldUsage x="-1"/>
        <fieldUsage x="1"/>
      </fieldsUsage>
    </cacheHierarchy>
    <cacheHierarchy uniqueName="[routes].[StartLocation]" caption="StartLocation" attribute="1" defaultMemberUniqueName="[routes].[StartLocation].[All]" allUniqueName="[routes].[StartLocation].[All]" dimensionUniqueName="[routes]" displayFolder="" count="0" memberValueDatatype="130" unbalanced="0"/>
    <cacheHierarchy uniqueName="[routes].[EndLocation]" caption="EndLocation" attribute="1" defaultMemberUniqueName="[routes].[EndLocation].[All]" allUniqueName="[routes].[EndLocation].[All]" dimensionUniqueName="[routes]" displayFolder="" count="0" memberValueDatatype="130" unbalanced="0"/>
    <cacheHierarchy uniqueName="[routes].[TripFee]" caption="TripFee" attribute="1" defaultMemberUniqueName="[routes].[TripFee].[All]" allUniqueName="[routes].[TripFee].[All]" dimensionUniqueName="[routes]" displayFolder="" count="0" memberValueDatatype="20" unbalanced="0"/>
    <cacheHierarchy uniqueName="[routes].[TakeOffTime]" caption="TakeOffTime" attribute="1" time="1" defaultMemberUniqueName="[routes].[TakeOffTime].[All]" allUniqueName="[routes].[TakeOffTime].[All]" dimensionUniqueName="[routes]" displayFolder="" count="0" memberValueDatatype="7" unbalanced="0"/>
    <cacheHierarchy uniqueName="[routes].[ArrivalTime]" caption="ArrivalTime" attribute="1" time="1" defaultMemberUniqueName="[routes].[ArrivalTime].[All]" allUniqueName="[routes].[ArrivalTime].[All]" dimensionUniqueName="[routes]" displayFolder="" count="0" memberValueDatatype="7" unbalanced="0"/>
    <cacheHierarchy uniqueName="[Measures].[Sum of Age]" caption="Sum of Age" measure="1" displayFolder="" measureGroup="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Age]" caption="Count of Age" measure="1" displayFolder="" measureGroup="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BusID]" caption="Sum of BusID" measure="1" displayFolder="" measureGroup="bus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BusID]" caption="Count of BusID" measure="1" displayFolder="" measureGroup="bus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iderID]" caption="Sum of RiderID" measure="1" displayFolder="" measureGroup="factable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RiderID]" caption="Count of RiderID" measure="1" displayFolder="" measureGroup="factable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NumberOfRiders]" caption="Sum of NumberOfRiders" measure="1" displayFolder="" measureGroup="factabl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Total Transaction]" caption="Total Transaction" measure="1" displayFolder="" measureGroup="Calculations" count="0"/>
    <cacheHierarchy uniqueName="[Measures].[Average Age]" caption="Average Age" measure="1" displayFolder="" measureGroup="Calculations" count="0"/>
    <cacheHierarchy uniqueName="[Measures].[Total Riders (Passengers)]" caption="Total Riders (Passengers)" measure="1" displayFolder="" measureGroup="Calculations" count="0" oneField="1">
      <fieldsUsage count="1">
        <fieldUsage x="0"/>
      </fieldsUsage>
    </cacheHierarchy>
    <cacheHierarchy uniqueName="[Measures].[Avg. Riders Per Trip]" caption="Avg. Riders Per Trip" measure="1" displayFolder="" measureGroup="Calculations" count="0"/>
    <cacheHierarchy uniqueName="[Measures].[Total Buses]" caption="Total Buses" measure="1" displayFolder="" measureGroup="Calculations" count="0"/>
    <cacheHierarchy uniqueName="[Measures].[__XL_Count buses]" caption="__XL_Count buses" measure="1" displayFolder="" measureGroup="buses" count="0" hidden="1"/>
    <cacheHierarchy uniqueName="[Measures].[__XL_Count demographics]" caption="__XL_Count demographics" measure="1" displayFolder="" measureGroup="demographics" count="0" hidden="1"/>
    <cacheHierarchy uniqueName="[Measures].[__XL_Count routes]" caption="__XL_Count routes" measure="1" displayFolder="" measureGroup="routes" count="0" hidden="1"/>
    <cacheHierarchy uniqueName="[Measures].[__XL_Count factable]" caption="__XL_Count factable" measure="1" displayFolder="" measureGroup="factable" count="0" hidden="1"/>
    <cacheHierarchy uniqueName="[Measures].[__XL_Count date]" caption="__XL_Count date" measure="1" displayFolder="" measureGroup="dat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buses" uniqueName="[buses]" caption="buses"/>
    <dimension name="Calculations" uniqueName="[Calculations]" caption="Calculations"/>
    <dimension name="date" uniqueName="[date]" caption="date"/>
    <dimension name="demographics" uniqueName="[demographics]" caption="demographics"/>
    <dimension name="factable" uniqueName="[factable]" caption="factable"/>
    <dimension measure="1" name="Measures" uniqueName="[Measures]" caption="Measures"/>
    <dimension name="routes" uniqueName="[routes]" caption="routes"/>
  </dimensions>
  <measureGroups count="6">
    <measureGroup name="buses" caption="buses"/>
    <measureGroup name="Calculations" caption="Calculations"/>
    <measureGroup name="date" caption="date"/>
    <measureGroup name="demographics" caption="demographics"/>
    <measureGroup name="factable" caption="factable"/>
    <measureGroup name="routes" caption="routes"/>
  </measureGroups>
  <maps count="11">
    <map measureGroup="0" dimension="0"/>
    <map measureGroup="0" dimension="6"/>
    <map measureGroup="1" dimension="1"/>
    <map measureGroup="2" dimension="2"/>
    <map measureGroup="3" dimension="3"/>
    <map measureGroup="4" dimension="0"/>
    <map measureGroup="4" dimension="2"/>
    <map measureGroup="4" dimension="3"/>
    <map measureGroup="4" dimension="4"/>
    <map measureGroup="4" dimension="6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904.507607291664" createdVersion="5" refreshedVersion="8" minRefreshableVersion="3" recordCount="0" supportSubquery="1" supportAdvancedDrill="1" xr:uid="{90810FEE-2B5A-44FC-9B01-4C92E7FC7EAE}">
  <cacheSource type="external" connectionId="7"/>
  <cacheFields count="4">
    <cacheField name="[Measures].[Total Riders (Passengers)]" caption="Total Riders (Passengers)" numFmtId="0" hierarchy="46" level="32767"/>
    <cacheField name="[routes].[RouteName].[RouteName]" caption="RouteName" numFmtId="0" hierarchy="31" level="1">
      <sharedItems count="1">
        <s v="East-West Express"/>
      </sharedItems>
    </cacheField>
    <cacheField name="[factable].[Time Segmentation].[Time Segmentation]" caption="Time Segmentation" numFmtId="0" hierarchy="24" level="1">
      <sharedItems count="4">
        <s v="1:00 AM - 4:00 AM"/>
        <s v="10:00 AM - 1:00 PM"/>
        <s v="4:00 AM - 7:00 AM"/>
        <s v="7:00 AM - 10:00 AM"/>
      </sharedItems>
    </cacheField>
    <cacheField name="[factable].[Time].[Time]" caption="Time" numFmtId="0" hierarchy="20" level="1">
      <sharedItems containsSemiMixedTypes="0" containsNonDate="0" containsDate="1" containsString="0" minDate="1899-12-30T12:34:00" maxDate="1899-12-30T12:34:00" count="1">
        <d v="1899-12-30T12:34:00"/>
      </sharedItems>
      <extLst>
        <ext xmlns:x15="http://schemas.microsoft.com/office/spreadsheetml/2010/11/main" uri="{4F2E5C28-24EA-4eb8-9CBF-B6C8F9C3D259}">
          <x15:cachedUniqueNames>
            <x15:cachedUniqueName index="0" name="[factable].[Time].&amp;[1899-12-30T12:34:00]"/>
          </x15:cachedUniqueNames>
        </ext>
      </extLst>
    </cacheField>
  </cacheFields>
  <cacheHierarchies count="56">
    <cacheHierarchy uniqueName="[buses].[BusID]" caption="BusID" attribute="1" defaultMemberUniqueName="[buses].[BusID].[All]" allUniqueName="[buses].[BusID].[All]" dimensionUniqueName="[buses]" displayFolder="" count="0" memberValueDatatype="20" unbalanced="0"/>
    <cacheHierarchy uniqueName="[buses].[RouteID]" caption="RouteID" attribute="1" defaultMemberUniqueName="[buses].[RouteID].[All]" allUniqueName="[buses].[RouteID].[All]" dimensionUniqueName="[buses]" displayFolder="" count="0" memberValueDatatype="20" unbalanced="0"/>
    <cacheHierarchy uniqueName="[buses].[BusNumber]" caption="BusNumber" attribute="1" defaultMemberUniqueName="[buses].[BusNumber].[All]" allUniqueName="[buses].[BusNumber].[All]" dimensionUniqueName="[buses]" displayFolder="" count="0" memberValueDatatype="130" unbalanced="0"/>
    <cacheHierarchy uniqueName="[buses].[Capacity]" caption="Capacity" attribute="1" defaultMemberUniqueName="[buses].[Capacity].[All]" allUniqueName="[buses].[Capacity].[All]" dimensionUniqueName="[buses]" displayFolder="" count="0" memberValueDatatype="20" unbalanced="0"/>
    <cacheHierarchy uniqueName="[Calculations].[Calculations]" caption="Calculations" attribute="1" defaultMemberUniqueName="[Calculations].[Calculations].[All]" allUniqueName="[Calculations].[Calculations].[All]" dimensionUniqueName="[Calculations]" displayFolder="" count="0" memberValueDatatype="130" unbalanced="0"/>
    <cacheHierarchy uniqueName="[date].[Date]" caption="Date" attribute="1" time="1" defaultMemberUniqueName="[date].[Date].[All]" allUniqueName="[date].[Dat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Month Name]" caption="Month Name" attribute="1" defaultMemberUniqueName="[date].[Month Name].[All]" allUniqueName="[date].[Month Name].[All]" dimensionUniqueName="[date]" displayFolder="" count="0" memberValueDatatype="130" unbalanced="0"/>
    <cacheHierarchy uniqueName="[date].[Month Number]" caption="Month Number" attribute="1" defaultMemberUniqueName="[date].[Month Number].[All]" allUniqueName="[date].[Month Number].[All]" dimensionUniqueName="[date]" displayFolder="" count="0" memberValueDatatype="20" unbalanced="0"/>
    <cacheHierarchy uniqueName="[date].[Day Name]" caption="Day Name" attribute="1" defaultMemberUniqueName="[date].[Day Name].[All]" allUniqueName="[date].[Day Name].[All]" dimensionUniqueName="[date]" displayFolder="" count="0" memberValueDatatype="130" unbalanced="0"/>
    <cacheHierarchy uniqueName="[date].[Day of Week]" caption="Day of Week" attribute="1" defaultMemberUniqueName="[date].[Day of Week].[All]" allUniqueName="[date].[Day of Week].[All]" dimensionUniqueName="[date]" displayFolder="" count="0" memberValueDatatype="20" unbalanced="0"/>
    <cacheHierarchy uniqueName="[date].[WeekType]" caption="WeekType" attribute="1" defaultMemberUniqueName="[date].[WeekType].[All]" allUniqueName="[date].[WeekType].[All]" dimensionUniqueName="[date]" displayFolder="" count="0" memberValueDatatype="130" unbalanced="0"/>
    <cacheHierarchy uniqueName="[demographics].[RiderID]" caption="RiderID" attribute="1" defaultMemberUniqueName="[demographics].[RiderID].[All]" allUniqueName="[demographics].[RiderID].[All]" dimensionUniqueName="[demographics]" displayFolder="" count="0" memberValueDatatype="20" unbalanced="0"/>
    <cacheHierarchy uniqueName="[demographics].[Age]" caption="Age" attribute="1" defaultMemberUniqueName="[demographics].[Age].[All]" allUniqueName="[demographics].[Age].[All]" dimensionUniqueName="[demographics]" displayFolder="" count="0" memberValueDatatype="20" unbalanced="0"/>
    <cacheHierarchy uniqueName="[demographics].[Gender]" caption="Gender" attribute="1" defaultMemberUniqueName="[demographics].[Gender].[All]" allUniqueName="[demographics].[Gender].[All]" dimensionUniqueName="[demographics]" displayFolder="" count="0" memberValueDatatype="130" unbalanced="0"/>
    <cacheHierarchy uniqueName="[demographics].[Occupation]" caption="Occupation" attribute="1" defaultMemberUniqueName="[demographics].[Occupation].[All]" allUniqueName="[demographics].[Occupation].[All]" dimensionUniqueName="[demographics]" displayFolder="" count="0" memberValueDatatype="130" unbalanced="0"/>
    <cacheHierarchy uniqueName="[demographics].[AgeBracket]" caption="AgeBracket" attribute="1" defaultMemberUniqueName="[demographics].[AgeBracket].[All]" allUniqueName="[demographics].[AgeBracket].[All]" dimensionUniqueName="[demographics]" displayFolder="" count="0" memberValueDatatype="130" unbalanced="0"/>
    <cacheHierarchy uniqueName="[factable].[RecordID]" caption="RecordID" attribute="1" defaultMemberUniqueName="[factable].[RecordID].[All]" allUniqueName="[factable].[RecordID].[All]" dimensionUniqueName="[factable]" displayFolder="" count="0" memberValueDatatype="20" unbalanced="0"/>
    <cacheHierarchy uniqueName="[factable].[BusID]" caption="BusID" attribute="1" defaultMemberUniqueName="[factable].[BusID].[All]" allUniqueName="[factable].[BusID].[All]" dimensionUniqueName="[factable]" displayFolder="" count="0" memberValueDatatype="20" unbalanced="0"/>
    <cacheHierarchy uniqueName="[factable].[Date]" caption="Date" attribute="1" time="1" defaultMemberUniqueName="[factable].[Date].[All]" allUniqueName="[factable].[Date].[All]" dimensionUniqueName="[factable]" displayFolder="" count="0" memberValueDatatype="7" unbalanced="0"/>
    <cacheHierarchy uniqueName="[factable].[Time]" caption="Time" attribute="1" time="1" defaultMemberUniqueName="[factable].[Time].[All]" allUniqueName="[factable].[Time].[All]" dimensionUniqueName="[factable]" displayFolder="" count="2" memberValueDatatype="7" unbalanced="0">
      <fieldsUsage count="2">
        <fieldUsage x="-1"/>
        <fieldUsage x="3"/>
      </fieldsUsage>
    </cacheHierarchy>
    <cacheHierarchy uniqueName="[factable].[Operation Moment]" caption="Operation Moment" attribute="1" defaultMemberUniqueName="[factable].[Operation Moment].[All]" allUniqueName="[factable].[Operation Moment].[All]" dimensionUniqueName="[factable]" displayFolder="" count="0" memberValueDatatype="130" unbalanced="0"/>
    <cacheHierarchy uniqueName="[factable].[NumberOfRiders]" caption="NumberOfRiders" attribute="1" defaultMemberUniqueName="[factable].[NumberOfRiders].[All]" allUniqueName="[factable].[NumberOfRiders].[All]" dimensionUniqueName="[factable]" displayFolder="" count="0" memberValueDatatype="20" unbalanced="0"/>
    <cacheHierarchy uniqueName="[factable].[RiderID]" caption="RiderID" attribute="1" defaultMemberUniqueName="[factable].[RiderID].[All]" allUniqueName="[factable].[RiderID].[All]" dimensionUniqueName="[factable]" displayFolder="" count="0" memberValueDatatype="20" unbalanced="0"/>
    <cacheHierarchy uniqueName="[factable].[Time Segmentation]" caption="Time Segmentation" attribute="1" defaultMemberUniqueName="[factable].[Time Segmentation].[All]" allUniqueName="[factable].[Time Segmentation].[All]" dimensionUniqueName="[factable]" displayFolder="" count="2" memberValueDatatype="130" unbalanced="0">
      <fieldsUsage count="2">
        <fieldUsage x="-1"/>
        <fieldUsage x="2"/>
      </fieldsUsage>
    </cacheHierarchy>
    <cacheHierarchy uniqueName="[factable].[Capacity]" caption="Capacity" attribute="1" defaultMemberUniqueName="[factable].[Capacity].[All]" allUniqueName="[factable].[Capacity].[All]" dimensionUniqueName="[factable]" displayFolder="" count="0" memberValueDatatype="20" unbalanced="0"/>
    <cacheHierarchy uniqueName="[factable].[Utilization Percentage]" caption="Utilization Percentage" attribute="1" defaultMemberUniqueName="[factable].[Utilization Percentage].[All]" allUniqueName="[factable].[Utilization Percentage].[All]" dimensionUniqueName="[factable]" displayFolder="" count="0" memberValueDatatype="5" unbalanced="0"/>
    <cacheHierarchy uniqueName="[factable].[Utilization Criterion]" caption="Utilization Criterion" attribute="1" defaultMemberUniqueName="[factable].[Utilization Criterion].[All]" allUniqueName="[factable].[Utilization Criterion].[All]" dimensionUniqueName="[factable]" displayFolder="" count="0" memberValueDatatype="130" unbalanced="0"/>
    <cacheHierarchy uniqueName="[factable].[Time (Hour)]" caption="Time (Hour)" attribute="1" defaultMemberUniqueName="[factable].[Time (Hour)].[All]" allUniqueName="[factable].[Time (Hour)].[All]" dimensionUniqueName="[factable]" displayFolder="" count="0" memberValueDatatype="130" unbalanced="0"/>
    <cacheHierarchy uniqueName="[factable].[Time (Minute)]" caption="Time (Minute)" attribute="1" defaultMemberUniqueName="[factable].[Time (Minute)].[All]" allUniqueName="[factable].[Time (Minute)].[All]" dimensionUniqueName="[factable]" displayFolder="" count="0" memberValueDatatype="130" unbalanced="0"/>
    <cacheHierarchy uniqueName="[routes].[RouteID]" caption="RouteID" attribute="1" defaultMemberUniqueName="[routes].[RouteID].[All]" allUniqueName="[routes].[RouteID].[All]" dimensionUniqueName="[routes]" displayFolder="" count="0" memberValueDatatype="20" unbalanced="0"/>
    <cacheHierarchy uniqueName="[routes].[RouteName]" caption="RouteName" attribute="1" defaultMemberUniqueName="[routes].[RouteName].[All]" allUniqueName="[routes].[RouteName].[All]" dimensionUniqueName="[routes]" displayFolder="" count="2" memberValueDatatype="130" unbalanced="0">
      <fieldsUsage count="2">
        <fieldUsage x="-1"/>
        <fieldUsage x="1"/>
      </fieldsUsage>
    </cacheHierarchy>
    <cacheHierarchy uniqueName="[routes].[StartLocation]" caption="StartLocation" attribute="1" defaultMemberUniqueName="[routes].[StartLocation].[All]" allUniqueName="[routes].[StartLocation].[All]" dimensionUniqueName="[routes]" displayFolder="" count="0" memberValueDatatype="130" unbalanced="0"/>
    <cacheHierarchy uniqueName="[routes].[EndLocation]" caption="EndLocation" attribute="1" defaultMemberUniqueName="[routes].[EndLocation].[All]" allUniqueName="[routes].[EndLocation].[All]" dimensionUniqueName="[routes]" displayFolder="" count="0" memberValueDatatype="130" unbalanced="0"/>
    <cacheHierarchy uniqueName="[routes].[TripFee]" caption="TripFee" attribute="1" defaultMemberUniqueName="[routes].[TripFee].[All]" allUniqueName="[routes].[TripFee].[All]" dimensionUniqueName="[routes]" displayFolder="" count="0" memberValueDatatype="20" unbalanced="0"/>
    <cacheHierarchy uniqueName="[routes].[TakeOffTime]" caption="TakeOffTime" attribute="1" time="1" defaultMemberUniqueName="[routes].[TakeOffTime].[All]" allUniqueName="[routes].[TakeOffTime].[All]" dimensionUniqueName="[routes]" displayFolder="" count="0" memberValueDatatype="7" unbalanced="0"/>
    <cacheHierarchy uniqueName="[routes].[ArrivalTime]" caption="ArrivalTime" attribute="1" time="1" defaultMemberUniqueName="[routes].[ArrivalTime].[All]" allUniqueName="[routes].[ArrivalTime].[All]" dimensionUniqueName="[routes]" displayFolder="" count="0" memberValueDatatype="7" unbalanced="0"/>
    <cacheHierarchy uniqueName="[Measures].[Sum of Age]" caption="Sum of Age" measure="1" displayFolder="" measureGroup="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Age]" caption="Count of Age" measure="1" displayFolder="" measureGroup="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BusID]" caption="Sum of BusID" measure="1" displayFolder="" measureGroup="bus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BusID]" caption="Count of BusID" measure="1" displayFolder="" measureGroup="bus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iderID]" caption="Sum of RiderID" measure="1" displayFolder="" measureGroup="factable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RiderID]" caption="Count of RiderID" measure="1" displayFolder="" measureGroup="factable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NumberOfRiders]" caption="Sum of NumberOfRiders" measure="1" displayFolder="" measureGroup="factabl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Total Transaction]" caption="Total Transaction" measure="1" displayFolder="" measureGroup="Calculations" count="0"/>
    <cacheHierarchy uniqueName="[Measures].[Average Age]" caption="Average Age" measure="1" displayFolder="" measureGroup="Calculations" count="0"/>
    <cacheHierarchy uniqueName="[Measures].[Total Riders (Passengers)]" caption="Total Riders (Passengers)" measure="1" displayFolder="" measureGroup="Calculations" count="0" oneField="1">
      <fieldsUsage count="1">
        <fieldUsage x="0"/>
      </fieldsUsage>
    </cacheHierarchy>
    <cacheHierarchy uniqueName="[Measures].[Avg. Riders Per Trip]" caption="Avg. Riders Per Trip" measure="1" displayFolder="" measureGroup="Calculations" count="0"/>
    <cacheHierarchy uniqueName="[Measures].[Total Buses]" caption="Total Buses" measure="1" displayFolder="" measureGroup="Calculations" count="0"/>
    <cacheHierarchy uniqueName="[Measures].[__XL_Count buses]" caption="__XL_Count buses" measure="1" displayFolder="" measureGroup="buses" count="0" hidden="1"/>
    <cacheHierarchy uniqueName="[Measures].[__XL_Count demographics]" caption="__XL_Count demographics" measure="1" displayFolder="" measureGroup="demographics" count="0" hidden="1"/>
    <cacheHierarchy uniqueName="[Measures].[__XL_Count routes]" caption="__XL_Count routes" measure="1" displayFolder="" measureGroup="routes" count="0" hidden="1"/>
    <cacheHierarchy uniqueName="[Measures].[__XL_Count factable]" caption="__XL_Count factable" measure="1" displayFolder="" measureGroup="factable" count="0" hidden="1"/>
    <cacheHierarchy uniqueName="[Measures].[__XL_Count date]" caption="__XL_Count date" measure="1" displayFolder="" measureGroup="dat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buses" uniqueName="[buses]" caption="buses"/>
    <dimension name="Calculations" uniqueName="[Calculations]" caption="Calculations"/>
    <dimension name="date" uniqueName="[date]" caption="date"/>
    <dimension name="demographics" uniqueName="[demographics]" caption="demographics"/>
    <dimension name="factable" uniqueName="[factable]" caption="factable"/>
    <dimension measure="1" name="Measures" uniqueName="[Measures]" caption="Measures"/>
    <dimension name="routes" uniqueName="[routes]" caption="routes"/>
  </dimensions>
  <measureGroups count="6">
    <measureGroup name="buses" caption="buses"/>
    <measureGroup name="Calculations" caption="Calculations"/>
    <measureGroup name="date" caption="date"/>
    <measureGroup name="demographics" caption="demographics"/>
    <measureGroup name="factable" caption="factable"/>
    <measureGroup name="routes" caption="routes"/>
  </measureGroups>
  <maps count="11">
    <map measureGroup="0" dimension="0"/>
    <map measureGroup="0" dimension="6"/>
    <map measureGroup="1" dimension="1"/>
    <map measureGroup="2" dimension="2"/>
    <map measureGroup="3" dimension="3"/>
    <map measureGroup="4" dimension="0"/>
    <map measureGroup="4" dimension="2"/>
    <map measureGroup="4" dimension="3"/>
    <map measureGroup="4" dimension="4"/>
    <map measureGroup="4" dimension="6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904.507608564818" createdVersion="5" refreshedVersion="8" minRefreshableVersion="3" recordCount="0" supportSubquery="1" supportAdvancedDrill="1" xr:uid="{71D3AF50-F6C0-4BE1-84A9-8B3D3C457868}">
  <cacheSource type="external" connectionId="7"/>
  <cacheFields count="5">
    <cacheField name="[Measures].[Total Riders (Passengers)]" caption="Total Riders (Passengers)" numFmtId="0" hierarchy="46" level="32767"/>
    <cacheField name="[routes].[RouteName].[RouteName]" caption="RouteName" numFmtId="0" hierarchy="31" level="1">
      <sharedItems count="1">
        <s v="East-West Express"/>
      </sharedItems>
    </cacheField>
    <cacheField name="[factable].[Time Segmentation].[Time Segmentation]" caption="Time Segmentation" numFmtId="0" hierarchy="24" level="1">
      <sharedItems count="4">
        <s v="1:00 AM - 4:00 AM"/>
        <s v="10:00 AM - 1:00 PM"/>
        <s v="4:00 AM - 7:00 AM"/>
        <s v="7:00 AM - 10:00 AM"/>
      </sharedItems>
    </cacheField>
    <cacheField name="[factable].[Time].[Time]" caption="Time" numFmtId="0" hierarchy="20" level="1">
      <sharedItems containsSemiMixedTypes="0" containsNonDate="0" containsDate="1" containsString="0" minDate="1899-12-30T12:34:00" maxDate="1899-12-30T12:34:00" count="1">
        <d v="1899-12-30T12:34:00"/>
      </sharedItems>
      <extLst>
        <ext xmlns:x15="http://schemas.microsoft.com/office/spreadsheetml/2010/11/main" uri="{4F2E5C28-24EA-4eb8-9CBF-B6C8F9C3D259}">
          <x15:cachedUniqueNames>
            <x15:cachedUniqueName index="0" name="[factable].[Time].&amp;[1899-12-30T12:34:00]"/>
          </x15:cachedUniqueNames>
        </ext>
      </extLst>
    </cacheField>
    <cacheField name="[date].[Year].[Year]" caption="Year" numFmtId="0" hierarchy="6" level="1">
      <sharedItems containsSemiMixedTypes="0" containsString="0" containsNumber="1" containsInteger="1" minValue="2023" maxValue="2024" count="2">
        <n v="2023"/>
        <n v="2024"/>
      </sharedItems>
      <extLst>
        <ext xmlns:x15="http://schemas.microsoft.com/office/spreadsheetml/2010/11/main" uri="{4F2E5C28-24EA-4eb8-9CBF-B6C8F9C3D259}">
          <x15:cachedUniqueNames>
            <x15:cachedUniqueName index="0" name="[date].[Year].&amp;[2023]"/>
            <x15:cachedUniqueName index="1" name="[date].[Year].&amp;[2024]"/>
          </x15:cachedUniqueNames>
        </ext>
      </extLst>
    </cacheField>
  </cacheFields>
  <cacheHierarchies count="56">
    <cacheHierarchy uniqueName="[buses].[BusID]" caption="BusID" attribute="1" defaultMemberUniqueName="[buses].[BusID].[All]" allUniqueName="[buses].[BusID].[All]" dimensionUniqueName="[buses]" displayFolder="" count="0" memberValueDatatype="20" unbalanced="0"/>
    <cacheHierarchy uniqueName="[buses].[RouteID]" caption="RouteID" attribute="1" defaultMemberUniqueName="[buses].[RouteID].[All]" allUniqueName="[buses].[RouteID].[All]" dimensionUniqueName="[buses]" displayFolder="" count="0" memberValueDatatype="20" unbalanced="0"/>
    <cacheHierarchy uniqueName="[buses].[BusNumber]" caption="BusNumber" attribute="1" defaultMemberUniqueName="[buses].[BusNumber].[All]" allUniqueName="[buses].[BusNumber].[All]" dimensionUniqueName="[buses]" displayFolder="" count="0" memberValueDatatype="130" unbalanced="0"/>
    <cacheHierarchy uniqueName="[buses].[Capacity]" caption="Capacity" attribute="1" defaultMemberUniqueName="[buses].[Capacity].[All]" allUniqueName="[buses].[Capacity].[All]" dimensionUniqueName="[buses]" displayFolder="" count="0" memberValueDatatype="20" unbalanced="0"/>
    <cacheHierarchy uniqueName="[Calculations].[Calculations]" caption="Calculations" attribute="1" defaultMemberUniqueName="[Calculations].[Calculations].[All]" allUniqueName="[Calculations].[Calculations].[All]" dimensionUniqueName="[Calculations]" displayFolder="" count="0" memberValueDatatype="130" unbalanced="0"/>
    <cacheHierarchy uniqueName="[date].[Date]" caption="Date" attribute="1" time="1" defaultMemberUniqueName="[date].[Date].[All]" allUniqueName="[date].[Dat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2" memberValueDatatype="20" unbalanced="0">
      <fieldsUsage count="2">
        <fieldUsage x="-1"/>
        <fieldUsage x="4"/>
      </fieldsUsage>
    </cacheHierarchy>
    <cacheHierarchy uniqueName="[date].[Month Name]" caption="Month Name" attribute="1" defaultMemberUniqueName="[date].[Month Name].[All]" allUniqueName="[date].[Month Name].[All]" dimensionUniqueName="[date]" displayFolder="" count="0" memberValueDatatype="130" unbalanced="0"/>
    <cacheHierarchy uniqueName="[date].[Month Number]" caption="Month Number" attribute="1" defaultMemberUniqueName="[date].[Month Number].[All]" allUniqueName="[date].[Month Number].[All]" dimensionUniqueName="[date]" displayFolder="" count="0" memberValueDatatype="20" unbalanced="0"/>
    <cacheHierarchy uniqueName="[date].[Day Name]" caption="Day Name" attribute="1" defaultMemberUniqueName="[date].[Day Name].[All]" allUniqueName="[date].[Day Name].[All]" dimensionUniqueName="[date]" displayFolder="" count="0" memberValueDatatype="130" unbalanced="0"/>
    <cacheHierarchy uniqueName="[date].[Day of Week]" caption="Day of Week" attribute="1" defaultMemberUniqueName="[date].[Day of Week].[All]" allUniqueName="[date].[Day of Week].[All]" dimensionUniqueName="[date]" displayFolder="" count="0" memberValueDatatype="20" unbalanced="0"/>
    <cacheHierarchy uniqueName="[date].[WeekType]" caption="WeekType" attribute="1" defaultMemberUniqueName="[date].[WeekType].[All]" allUniqueName="[date].[WeekType].[All]" dimensionUniqueName="[date]" displayFolder="" count="0" memberValueDatatype="130" unbalanced="0"/>
    <cacheHierarchy uniqueName="[demographics].[RiderID]" caption="RiderID" attribute="1" defaultMemberUniqueName="[demographics].[RiderID].[All]" allUniqueName="[demographics].[RiderID].[All]" dimensionUniqueName="[demographics]" displayFolder="" count="0" memberValueDatatype="20" unbalanced="0"/>
    <cacheHierarchy uniqueName="[demographics].[Age]" caption="Age" attribute="1" defaultMemberUniqueName="[demographics].[Age].[All]" allUniqueName="[demographics].[Age].[All]" dimensionUniqueName="[demographics]" displayFolder="" count="0" memberValueDatatype="20" unbalanced="0"/>
    <cacheHierarchy uniqueName="[demographics].[Gender]" caption="Gender" attribute="1" defaultMemberUniqueName="[demographics].[Gender].[All]" allUniqueName="[demographics].[Gender].[All]" dimensionUniqueName="[demographics]" displayFolder="" count="0" memberValueDatatype="130" unbalanced="0"/>
    <cacheHierarchy uniqueName="[demographics].[Occupation]" caption="Occupation" attribute="1" defaultMemberUniqueName="[demographics].[Occupation].[All]" allUniqueName="[demographics].[Occupation].[All]" dimensionUniqueName="[demographics]" displayFolder="" count="0" memberValueDatatype="130" unbalanced="0"/>
    <cacheHierarchy uniqueName="[demographics].[AgeBracket]" caption="AgeBracket" attribute="1" defaultMemberUniqueName="[demographics].[AgeBracket].[All]" allUniqueName="[demographics].[AgeBracket].[All]" dimensionUniqueName="[demographics]" displayFolder="" count="0" memberValueDatatype="130" unbalanced="0"/>
    <cacheHierarchy uniqueName="[factable].[RecordID]" caption="RecordID" attribute="1" defaultMemberUniqueName="[factable].[RecordID].[All]" allUniqueName="[factable].[RecordID].[All]" dimensionUniqueName="[factable]" displayFolder="" count="0" memberValueDatatype="20" unbalanced="0"/>
    <cacheHierarchy uniqueName="[factable].[BusID]" caption="BusID" attribute="1" defaultMemberUniqueName="[factable].[BusID].[All]" allUniqueName="[factable].[BusID].[All]" dimensionUniqueName="[factable]" displayFolder="" count="0" memberValueDatatype="20" unbalanced="0"/>
    <cacheHierarchy uniqueName="[factable].[Date]" caption="Date" attribute="1" time="1" defaultMemberUniqueName="[factable].[Date].[All]" allUniqueName="[factable].[Date].[All]" dimensionUniqueName="[factable]" displayFolder="" count="0" memberValueDatatype="7" unbalanced="0"/>
    <cacheHierarchy uniqueName="[factable].[Time]" caption="Time" attribute="1" time="1" defaultMemberUniqueName="[factable].[Time].[All]" allUniqueName="[factable].[Time].[All]" dimensionUniqueName="[factable]" displayFolder="" count="2" memberValueDatatype="7" unbalanced="0">
      <fieldsUsage count="2">
        <fieldUsage x="-1"/>
        <fieldUsage x="3"/>
      </fieldsUsage>
    </cacheHierarchy>
    <cacheHierarchy uniqueName="[factable].[Operation Moment]" caption="Operation Moment" attribute="1" defaultMemberUniqueName="[factable].[Operation Moment].[All]" allUniqueName="[factable].[Operation Moment].[All]" dimensionUniqueName="[factable]" displayFolder="" count="0" memberValueDatatype="130" unbalanced="0"/>
    <cacheHierarchy uniqueName="[factable].[NumberOfRiders]" caption="NumberOfRiders" attribute="1" defaultMemberUniqueName="[factable].[NumberOfRiders].[All]" allUniqueName="[factable].[NumberOfRiders].[All]" dimensionUniqueName="[factable]" displayFolder="" count="0" memberValueDatatype="20" unbalanced="0"/>
    <cacheHierarchy uniqueName="[factable].[RiderID]" caption="RiderID" attribute="1" defaultMemberUniqueName="[factable].[RiderID].[All]" allUniqueName="[factable].[RiderID].[All]" dimensionUniqueName="[factable]" displayFolder="" count="0" memberValueDatatype="20" unbalanced="0"/>
    <cacheHierarchy uniqueName="[factable].[Time Segmentation]" caption="Time Segmentation" attribute="1" defaultMemberUniqueName="[factable].[Time Segmentation].[All]" allUniqueName="[factable].[Time Segmentation].[All]" dimensionUniqueName="[factable]" displayFolder="" count="2" memberValueDatatype="130" unbalanced="0">
      <fieldsUsage count="2">
        <fieldUsage x="-1"/>
        <fieldUsage x="2"/>
      </fieldsUsage>
    </cacheHierarchy>
    <cacheHierarchy uniqueName="[factable].[Capacity]" caption="Capacity" attribute="1" defaultMemberUniqueName="[factable].[Capacity].[All]" allUniqueName="[factable].[Capacity].[All]" dimensionUniqueName="[factable]" displayFolder="" count="0" memberValueDatatype="20" unbalanced="0"/>
    <cacheHierarchy uniqueName="[factable].[Utilization Percentage]" caption="Utilization Percentage" attribute="1" defaultMemberUniqueName="[factable].[Utilization Percentage].[All]" allUniqueName="[factable].[Utilization Percentage].[All]" dimensionUniqueName="[factable]" displayFolder="" count="0" memberValueDatatype="5" unbalanced="0"/>
    <cacheHierarchy uniqueName="[factable].[Utilization Criterion]" caption="Utilization Criterion" attribute="1" defaultMemberUniqueName="[factable].[Utilization Criterion].[All]" allUniqueName="[factable].[Utilization Criterion].[All]" dimensionUniqueName="[factable]" displayFolder="" count="0" memberValueDatatype="130" unbalanced="0"/>
    <cacheHierarchy uniqueName="[factable].[Time (Hour)]" caption="Time (Hour)" attribute="1" defaultMemberUniqueName="[factable].[Time (Hour)].[All]" allUniqueName="[factable].[Time (Hour)].[All]" dimensionUniqueName="[factable]" displayFolder="" count="0" memberValueDatatype="130" unbalanced="0"/>
    <cacheHierarchy uniqueName="[factable].[Time (Minute)]" caption="Time (Minute)" attribute="1" defaultMemberUniqueName="[factable].[Time (Minute)].[All]" allUniqueName="[factable].[Time (Minute)].[All]" dimensionUniqueName="[factable]" displayFolder="" count="0" memberValueDatatype="130" unbalanced="0"/>
    <cacheHierarchy uniqueName="[routes].[RouteID]" caption="RouteID" attribute="1" defaultMemberUniqueName="[routes].[RouteID].[All]" allUniqueName="[routes].[RouteID].[All]" dimensionUniqueName="[routes]" displayFolder="" count="0" memberValueDatatype="20" unbalanced="0"/>
    <cacheHierarchy uniqueName="[routes].[RouteName]" caption="RouteName" attribute="1" defaultMemberUniqueName="[routes].[RouteName].[All]" allUniqueName="[routes].[RouteName].[All]" dimensionUniqueName="[routes]" displayFolder="" count="2" memberValueDatatype="130" unbalanced="0">
      <fieldsUsage count="2">
        <fieldUsage x="-1"/>
        <fieldUsage x="1"/>
      </fieldsUsage>
    </cacheHierarchy>
    <cacheHierarchy uniqueName="[routes].[StartLocation]" caption="StartLocation" attribute="1" defaultMemberUniqueName="[routes].[StartLocation].[All]" allUniqueName="[routes].[StartLocation].[All]" dimensionUniqueName="[routes]" displayFolder="" count="0" memberValueDatatype="130" unbalanced="0"/>
    <cacheHierarchy uniqueName="[routes].[EndLocation]" caption="EndLocation" attribute="1" defaultMemberUniqueName="[routes].[EndLocation].[All]" allUniqueName="[routes].[EndLocation].[All]" dimensionUniqueName="[routes]" displayFolder="" count="0" memberValueDatatype="130" unbalanced="0"/>
    <cacheHierarchy uniqueName="[routes].[TripFee]" caption="TripFee" attribute="1" defaultMemberUniqueName="[routes].[TripFee].[All]" allUniqueName="[routes].[TripFee].[All]" dimensionUniqueName="[routes]" displayFolder="" count="0" memberValueDatatype="20" unbalanced="0"/>
    <cacheHierarchy uniqueName="[routes].[TakeOffTime]" caption="TakeOffTime" attribute="1" time="1" defaultMemberUniqueName="[routes].[TakeOffTime].[All]" allUniqueName="[routes].[TakeOffTime].[All]" dimensionUniqueName="[routes]" displayFolder="" count="0" memberValueDatatype="7" unbalanced="0"/>
    <cacheHierarchy uniqueName="[routes].[ArrivalTime]" caption="ArrivalTime" attribute="1" time="1" defaultMemberUniqueName="[routes].[ArrivalTime].[All]" allUniqueName="[routes].[ArrivalTime].[All]" dimensionUniqueName="[routes]" displayFolder="" count="0" memberValueDatatype="7" unbalanced="0"/>
    <cacheHierarchy uniqueName="[Measures].[Sum of Age]" caption="Sum of Age" measure="1" displayFolder="" measureGroup="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Age]" caption="Count of Age" measure="1" displayFolder="" measureGroup="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BusID]" caption="Sum of BusID" measure="1" displayFolder="" measureGroup="bus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BusID]" caption="Count of BusID" measure="1" displayFolder="" measureGroup="bus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iderID]" caption="Sum of RiderID" measure="1" displayFolder="" measureGroup="factable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RiderID]" caption="Count of RiderID" measure="1" displayFolder="" measureGroup="factable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NumberOfRiders]" caption="Sum of NumberOfRiders" measure="1" displayFolder="" measureGroup="factabl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Total Transaction]" caption="Total Transaction" measure="1" displayFolder="" measureGroup="Calculations" count="0"/>
    <cacheHierarchy uniqueName="[Measures].[Average Age]" caption="Average Age" measure="1" displayFolder="" measureGroup="Calculations" count="0"/>
    <cacheHierarchy uniqueName="[Measures].[Total Riders (Passengers)]" caption="Total Riders (Passengers)" measure="1" displayFolder="" measureGroup="Calculations" count="0" oneField="1">
      <fieldsUsage count="1">
        <fieldUsage x="0"/>
      </fieldsUsage>
    </cacheHierarchy>
    <cacheHierarchy uniqueName="[Measures].[Avg. Riders Per Trip]" caption="Avg. Riders Per Trip" measure="1" displayFolder="" measureGroup="Calculations" count="0"/>
    <cacheHierarchy uniqueName="[Measures].[Total Buses]" caption="Total Buses" measure="1" displayFolder="" measureGroup="Calculations" count="0"/>
    <cacheHierarchy uniqueName="[Measures].[__XL_Count buses]" caption="__XL_Count buses" measure="1" displayFolder="" measureGroup="buses" count="0" hidden="1"/>
    <cacheHierarchy uniqueName="[Measures].[__XL_Count demographics]" caption="__XL_Count demographics" measure="1" displayFolder="" measureGroup="demographics" count="0" hidden="1"/>
    <cacheHierarchy uniqueName="[Measures].[__XL_Count routes]" caption="__XL_Count routes" measure="1" displayFolder="" measureGroup="routes" count="0" hidden="1"/>
    <cacheHierarchy uniqueName="[Measures].[__XL_Count factable]" caption="__XL_Count factable" measure="1" displayFolder="" measureGroup="factable" count="0" hidden="1"/>
    <cacheHierarchy uniqueName="[Measures].[__XL_Count date]" caption="__XL_Count date" measure="1" displayFolder="" measureGroup="dat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buses" uniqueName="[buses]" caption="buses"/>
    <dimension name="Calculations" uniqueName="[Calculations]" caption="Calculations"/>
    <dimension name="date" uniqueName="[date]" caption="date"/>
    <dimension name="demographics" uniqueName="[demographics]" caption="demographics"/>
    <dimension name="factable" uniqueName="[factable]" caption="factable"/>
    <dimension measure="1" name="Measures" uniqueName="[Measures]" caption="Measures"/>
    <dimension name="routes" uniqueName="[routes]" caption="routes"/>
  </dimensions>
  <measureGroups count="6">
    <measureGroup name="buses" caption="buses"/>
    <measureGroup name="Calculations" caption="Calculations"/>
    <measureGroup name="date" caption="date"/>
    <measureGroup name="demographics" caption="demographics"/>
    <measureGroup name="factable" caption="factable"/>
    <measureGroup name="routes" caption="routes"/>
  </measureGroups>
  <maps count="11">
    <map measureGroup="0" dimension="0"/>
    <map measureGroup="0" dimension="6"/>
    <map measureGroup="1" dimension="1"/>
    <map measureGroup="2" dimension="2"/>
    <map measureGroup="3" dimension="3"/>
    <map measureGroup="4" dimension="0"/>
    <map measureGroup="4" dimension="2"/>
    <map measureGroup="4" dimension="3"/>
    <map measureGroup="4" dimension="4"/>
    <map measureGroup="4" dimension="6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904.507610416666" createdVersion="5" refreshedVersion="8" minRefreshableVersion="3" recordCount="0" supportSubquery="1" supportAdvancedDrill="1" xr:uid="{359AB6EC-36AD-4A26-8D67-CB830F00D85E}">
  <cacheSource type="external" connectionId="7"/>
  <cacheFields count="5">
    <cacheField name="[Measures].[Total Riders (Passengers)]" caption="Total Riders (Passengers)" numFmtId="0" hierarchy="46" level="32767"/>
    <cacheField name="[routes].[RouteName].[RouteName]" caption="RouteName" numFmtId="0" hierarchy="31" level="1">
      <sharedItems count="1">
        <s v="East-West Express"/>
      </sharedItems>
    </cacheField>
    <cacheField name="[factable].[Time Segmentation].[Time Segmentation]" caption="Time Segmentation" numFmtId="0" hierarchy="24" level="1">
      <sharedItems count="4">
        <s v="1:00 AM - 4:00 AM"/>
        <s v="10:00 AM - 1:00 PM"/>
        <s v="4:00 AM - 7:00 AM"/>
        <s v="7:00 AM - 10:00 AM"/>
      </sharedItems>
    </cacheField>
    <cacheField name="[factable].[Time].[Time]" caption="Time" numFmtId="0" hierarchy="20" level="1">
      <sharedItems containsSemiMixedTypes="0" containsNonDate="0" containsDate="1" containsString="0" minDate="1899-12-30T12:34:00" maxDate="1899-12-30T12:34:00" count="1">
        <d v="1899-12-30T12:34:00"/>
      </sharedItems>
      <extLst>
        <ext xmlns:x15="http://schemas.microsoft.com/office/spreadsheetml/2010/11/main" uri="{4F2E5C28-24EA-4eb8-9CBF-B6C8F9C3D259}">
          <x15:cachedUniqueNames>
            <x15:cachedUniqueName index="0" name="[factable].[Time].&amp;[1899-12-30T12:34:00]"/>
          </x15:cachedUniqueNames>
        </ext>
      </extLst>
    </cacheField>
    <cacheField name="[date].[Day Name].[Day Name]" caption="Day Name" numFmtId="0" hierarchy="9" level="1">
      <sharedItems count="7">
        <s v="Sun"/>
        <s v="Mon"/>
        <s v="Tue"/>
        <s v="Wed"/>
        <s v="Thu"/>
        <s v="Fri"/>
        <s v="Sat"/>
      </sharedItems>
    </cacheField>
  </cacheFields>
  <cacheHierarchies count="56">
    <cacheHierarchy uniqueName="[buses].[BusID]" caption="BusID" attribute="1" defaultMemberUniqueName="[buses].[BusID].[All]" allUniqueName="[buses].[BusID].[All]" dimensionUniqueName="[buses]" displayFolder="" count="0" memberValueDatatype="20" unbalanced="0"/>
    <cacheHierarchy uniqueName="[buses].[RouteID]" caption="RouteID" attribute="1" defaultMemberUniqueName="[buses].[RouteID].[All]" allUniqueName="[buses].[RouteID].[All]" dimensionUniqueName="[buses]" displayFolder="" count="0" memberValueDatatype="20" unbalanced="0"/>
    <cacheHierarchy uniqueName="[buses].[BusNumber]" caption="BusNumber" attribute="1" defaultMemberUniqueName="[buses].[BusNumber].[All]" allUniqueName="[buses].[BusNumber].[All]" dimensionUniqueName="[buses]" displayFolder="" count="0" memberValueDatatype="130" unbalanced="0"/>
    <cacheHierarchy uniqueName="[buses].[Capacity]" caption="Capacity" attribute="1" defaultMemberUniqueName="[buses].[Capacity].[All]" allUniqueName="[buses].[Capacity].[All]" dimensionUniqueName="[buses]" displayFolder="" count="0" memberValueDatatype="20" unbalanced="0"/>
    <cacheHierarchy uniqueName="[Calculations].[Calculations]" caption="Calculations" attribute="1" defaultMemberUniqueName="[Calculations].[Calculations].[All]" allUniqueName="[Calculations].[Calculations].[All]" dimensionUniqueName="[Calculations]" displayFolder="" count="0" memberValueDatatype="130" unbalanced="0"/>
    <cacheHierarchy uniqueName="[date].[Date]" caption="Date" attribute="1" time="1" defaultMemberUniqueName="[date].[Date].[All]" allUniqueName="[date].[Dat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Month Name]" caption="Month Name" attribute="1" defaultMemberUniqueName="[date].[Month Name].[All]" allUniqueName="[date].[Month Name].[All]" dimensionUniqueName="[date]" displayFolder="" count="0" memberValueDatatype="130" unbalanced="0"/>
    <cacheHierarchy uniqueName="[date].[Month Number]" caption="Month Number" attribute="1" defaultMemberUniqueName="[date].[Month Number].[All]" allUniqueName="[date].[Month Number].[All]" dimensionUniqueName="[date]" displayFolder="" count="0" memberValueDatatype="20" unbalanced="0"/>
    <cacheHierarchy uniqueName="[date].[Day Name]" caption="Day Name" attribute="1" defaultMemberUniqueName="[date].[Day Name].[All]" allUniqueName="[date].[Day Name].[All]" dimensionUniqueName="[date]" displayFolder="" count="2" memberValueDatatype="130" unbalanced="0">
      <fieldsUsage count="2">
        <fieldUsage x="-1"/>
        <fieldUsage x="4"/>
      </fieldsUsage>
    </cacheHierarchy>
    <cacheHierarchy uniqueName="[date].[Day of Week]" caption="Day of Week" attribute="1" defaultMemberUniqueName="[date].[Day of Week].[All]" allUniqueName="[date].[Day of Week].[All]" dimensionUniqueName="[date]" displayFolder="" count="0" memberValueDatatype="20" unbalanced="0"/>
    <cacheHierarchy uniqueName="[date].[WeekType]" caption="WeekType" attribute="1" defaultMemberUniqueName="[date].[WeekType].[All]" allUniqueName="[date].[WeekType].[All]" dimensionUniqueName="[date]" displayFolder="" count="0" memberValueDatatype="130" unbalanced="0"/>
    <cacheHierarchy uniqueName="[demographics].[RiderID]" caption="RiderID" attribute="1" defaultMemberUniqueName="[demographics].[RiderID].[All]" allUniqueName="[demographics].[RiderID].[All]" dimensionUniqueName="[demographics]" displayFolder="" count="0" memberValueDatatype="20" unbalanced="0"/>
    <cacheHierarchy uniqueName="[demographics].[Age]" caption="Age" attribute="1" defaultMemberUniqueName="[demographics].[Age].[All]" allUniqueName="[demographics].[Age].[All]" dimensionUniqueName="[demographics]" displayFolder="" count="0" memberValueDatatype="20" unbalanced="0"/>
    <cacheHierarchy uniqueName="[demographics].[Gender]" caption="Gender" attribute="1" defaultMemberUniqueName="[demographics].[Gender].[All]" allUniqueName="[demographics].[Gender].[All]" dimensionUniqueName="[demographics]" displayFolder="" count="0" memberValueDatatype="130" unbalanced="0"/>
    <cacheHierarchy uniqueName="[demographics].[Occupation]" caption="Occupation" attribute="1" defaultMemberUniqueName="[demographics].[Occupation].[All]" allUniqueName="[demographics].[Occupation].[All]" dimensionUniqueName="[demographics]" displayFolder="" count="0" memberValueDatatype="130" unbalanced="0"/>
    <cacheHierarchy uniqueName="[demographics].[AgeBracket]" caption="AgeBracket" attribute="1" defaultMemberUniqueName="[demographics].[AgeBracket].[All]" allUniqueName="[demographics].[AgeBracket].[All]" dimensionUniqueName="[demographics]" displayFolder="" count="0" memberValueDatatype="130" unbalanced="0"/>
    <cacheHierarchy uniqueName="[factable].[RecordID]" caption="RecordID" attribute="1" defaultMemberUniqueName="[factable].[RecordID].[All]" allUniqueName="[factable].[RecordID].[All]" dimensionUniqueName="[factable]" displayFolder="" count="0" memberValueDatatype="20" unbalanced="0"/>
    <cacheHierarchy uniqueName="[factable].[BusID]" caption="BusID" attribute="1" defaultMemberUniqueName="[factable].[BusID].[All]" allUniqueName="[factable].[BusID].[All]" dimensionUniqueName="[factable]" displayFolder="" count="0" memberValueDatatype="20" unbalanced="0"/>
    <cacheHierarchy uniqueName="[factable].[Date]" caption="Date" attribute="1" time="1" defaultMemberUniqueName="[factable].[Date].[All]" allUniqueName="[factable].[Date].[All]" dimensionUniqueName="[factable]" displayFolder="" count="0" memberValueDatatype="7" unbalanced="0"/>
    <cacheHierarchy uniqueName="[factable].[Time]" caption="Time" attribute="1" time="1" defaultMemberUniqueName="[factable].[Time].[All]" allUniqueName="[factable].[Time].[All]" dimensionUniqueName="[factable]" displayFolder="" count="2" memberValueDatatype="7" unbalanced="0">
      <fieldsUsage count="2">
        <fieldUsage x="-1"/>
        <fieldUsage x="3"/>
      </fieldsUsage>
    </cacheHierarchy>
    <cacheHierarchy uniqueName="[factable].[Operation Moment]" caption="Operation Moment" attribute="1" defaultMemberUniqueName="[factable].[Operation Moment].[All]" allUniqueName="[factable].[Operation Moment].[All]" dimensionUniqueName="[factable]" displayFolder="" count="0" memberValueDatatype="130" unbalanced="0"/>
    <cacheHierarchy uniqueName="[factable].[NumberOfRiders]" caption="NumberOfRiders" attribute="1" defaultMemberUniqueName="[factable].[NumberOfRiders].[All]" allUniqueName="[factable].[NumberOfRiders].[All]" dimensionUniqueName="[factable]" displayFolder="" count="0" memberValueDatatype="20" unbalanced="0"/>
    <cacheHierarchy uniqueName="[factable].[RiderID]" caption="RiderID" attribute="1" defaultMemberUniqueName="[factable].[RiderID].[All]" allUniqueName="[factable].[RiderID].[All]" dimensionUniqueName="[factable]" displayFolder="" count="0" memberValueDatatype="20" unbalanced="0"/>
    <cacheHierarchy uniqueName="[factable].[Time Segmentation]" caption="Time Segmentation" attribute="1" defaultMemberUniqueName="[factable].[Time Segmentation].[All]" allUniqueName="[factable].[Time Segmentation].[All]" dimensionUniqueName="[factable]" displayFolder="" count="2" memberValueDatatype="130" unbalanced="0">
      <fieldsUsage count="2">
        <fieldUsage x="-1"/>
        <fieldUsage x="2"/>
      </fieldsUsage>
    </cacheHierarchy>
    <cacheHierarchy uniqueName="[factable].[Capacity]" caption="Capacity" attribute="1" defaultMemberUniqueName="[factable].[Capacity].[All]" allUniqueName="[factable].[Capacity].[All]" dimensionUniqueName="[factable]" displayFolder="" count="0" memberValueDatatype="20" unbalanced="0"/>
    <cacheHierarchy uniqueName="[factable].[Utilization Percentage]" caption="Utilization Percentage" attribute="1" defaultMemberUniqueName="[factable].[Utilization Percentage].[All]" allUniqueName="[factable].[Utilization Percentage].[All]" dimensionUniqueName="[factable]" displayFolder="" count="0" memberValueDatatype="5" unbalanced="0"/>
    <cacheHierarchy uniqueName="[factable].[Utilization Criterion]" caption="Utilization Criterion" attribute="1" defaultMemberUniqueName="[factable].[Utilization Criterion].[All]" allUniqueName="[factable].[Utilization Criterion].[All]" dimensionUniqueName="[factable]" displayFolder="" count="0" memberValueDatatype="130" unbalanced="0"/>
    <cacheHierarchy uniqueName="[factable].[Time (Hour)]" caption="Time (Hour)" attribute="1" defaultMemberUniqueName="[factable].[Time (Hour)].[All]" allUniqueName="[factable].[Time (Hour)].[All]" dimensionUniqueName="[factable]" displayFolder="" count="0" memberValueDatatype="130" unbalanced="0"/>
    <cacheHierarchy uniqueName="[factable].[Time (Minute)]" caption="Time (Minute)" attribute="1" defaultMemberUniqueName="[factable].[Time (Minute)].[All]" allUniqueName="[factable].[Time (Minute)].[All]" dimensionUniqueName="[factable]" displayFolder="" count="0" memberValueDatatype="130" unbalanced="0"/>
    <cacheHierarchy uniqueName="[routes].[RouteID]" caption="RouteID" attribute="1" defaultMemberUniqueName="[routes].[RouteID].[All]" allUniqueName="[routes].[RouteID].[All]" dimensionUniqueName="[routes]" displayFolder="" count="0" memberValueDatatype="20" unbalanced="0"/>
    <cacheHierarchy uniqueName="[routes].[RouteName]" caption="RouteName" attribute="1" defaultMemberUniqueName="[routes].[RouteName].[All]" allUniqueName="[routes].[RouteName].[All]" dimensionUniqueName="[routes]" displayFolder="" count="2" memberValueDatatype="130" unbalanced="0">
      <fieldsUsage count="2">
        <fieldUsage x="-1"/>
        <fieldUsage x="1"/>
      </fieldsUsage>
    </cacheHierarchy>
    <cacheHierarchy uniqueName="[routes].[StartLocation]" caption="StartLocation" attribute="1" defaultMemberUniqueName="[routes].[StartLocation].[All]" allUniqueName="[routes].[StartLocation].[All]" dimensionUniqueName="[routes]" displayFolder="" count="0" memberValueDatatype="130" unbalanced="0"/>
    <cacheHierarchy uniqueName="[routes].[EndLocation]" caption="EndLocation" attribute="1" defaultMemberUniqueName="[routes].[EndLocation].[All]" allUniqueName="[routes].[EndLocation].[All]" dimensionUniqueName="[routes]" displayFolder="" count="0" memberValueDatatype="130" unbalanced="0"/>
    <cacheHierarchy uniqueName="[routes].[TripFee]" caption="TripFee" attribute="1" defaultMemberUniqueName="[routes].[TripFee].[All]" allUniqueName="[routes].[TripFee].[All]" dimensionUniqueName="[routes]" displayFolder="" count="0" memberValueDatatype="20" unbalanced="0"/>
    <cacheHierarchy uniqueName="[routes].[TakeOffTime]" caption="TakeOffTime" attribute="1" time="1" defaultMemberUniqueName="[routes].[TakeOffTime].[All]" allUniqueName="[routes].[TakeOffTime].[All]" dimensionUniqueName="[routes]" displayFolder="" count="0" memberValueDatatype="7" unbalanced="0"/>
    <cacheHierarchy uniqueName="[routes].[ArrivalTime]" caption="ArrivalTime" attribute="1" time="1" defaultMemberUniqueName="[routes].[ArrivalTime].[All]" allUniqueName="[routes].[ArrivalTime].[All]" dimensionUniqueName="[routes]" displayFolder="" count="0" memberValueDatatype="7" unbalanced="0"/>
    <cacheHierarchy uniqueName="[Measures].[Sum of Age]" caption="Sum of Age" measure="1" displayFolder="" measureGroup="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Age]" caption="Count of Age" measure="1" displayFolder="" measureGroup="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BusID]" caption="Sum of BusID" measure="1" displayFolder="" measureGroup="bus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BusID]" caption="Count of BusID" measure="1" displayFolder="" measureGroup="bus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iderID]" caption="Sum of RiderID" measure="1" displayFolder="" measureGroup="factable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RiderID]" caption="Count of RiderID" measure="1" displayFolder="" measureGroup="factable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NumberOfRiders]" caption="Sum of NumberOfRiders" measure="1" displayFolder="" measureGroup="factabl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Total Transaction]" caption="Total Transaction" measure="1" displayFolder="" measureGroup="Calculations" count="0"/>
    <cacheHierarchy uniqueName="[Measures].[Average Age]" caption="Average Age" measure="1" displayFolder="" measureGroup="Calculations" count="0"/>
    <cacheHierarchy uniqueName="[Measures].[Total Riders (Passengers)]" caption="Total Riders (Passengers)" measure="1" displayFolder="" measureGroup="Calculations" count="0" oneField="1">
      <fieldsUsage count="1">
        <fieldUsage x="0"/>
      </fieldsUsage>
    </cacheHierarchy>
    <cacheHierarchy uniqueName="[Measures].[Avg. Riders Per Trip]" caption="Avg. Riders Per Trip" measure="1" displayFolder="" measureGroup="Calculations" count="0"/>
    <cacheHierarchy uniqueName="[Measures].[Total Buses]" caption="Total Buses" measure="1" displayFolder="" measureGroup="Calculations" count="0"/>
    <cacheHierarchy uniqueName="[Measures].[__XL_Count buses]" caption="__XL_Count buses" measure="1" displayFolder="" measureGroup="buses" count="0" hidden="1"/>
    <cacheHierarchy uniqueName="[Measures].[__XL_Count demographics]" caption="__XL_Count demographics" measure="1" displayFolder="" measureGroup="demographics" count="0" hidden="1"/>
    <cacheHierarchy uniqueName="[Measures].[__XL_Count routes]" caption="__XL_Count routes" measure="1" displayFolder="" measureGroup="routes" count="0" hidden="1"/>
    <cacheHierarchy uniqueName="[Measures].[__XL_Count factable]" caption="__XL_Count factable" measure="1" displayFolder="" measureGroup="factable" count="0" hidden="1"/>
    <cacheHierarchy uniqueName="[Measures].[__XL_Count date]" caption="__XL_Count date" measure="1" displayFolder="" measureGroup="dat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buses" uniqueName="[buses]" caption="buses"/>
    <dimension name="Calculations" uniqueName="[Calculations]" caption="Calculations"/>
    <dimension name="date" uniqueName="[date]" caption="date"/>
    <dimension name="demographics" uniqueName="[demographics]" caption="demographics"/>
    <dimension name="factable" uniqueName="[factable]" caption="factable"/>
    <dimension measure="1" name="Measures" uniqueName="[Measures]" caption="Measures"/>
    <dimension name="routes" uniqueName="[routes]" caption="routes"/>
  </dimensions>
  <measureGroups count="6">
    <measureGroup name="buses" caption="buses"/>
    <measureGroup name="Calculations" caption="Calculations"/>
    <measureGroup name="date" caption="date"/>
    <measureGroup name="demographics" caption="demographics"/>
    <measureGroup name="factable" caption="factable"/>
    <measureGroup name="routes" caption="routes"/>
  </measureGroups>
  <maps count="11">
    <map measureGroup="0" dimension="0"/>
    <map measureGroup="0" dimension="6"/>
    <map measureGroup="1" dimension="1"/>
    <map measureGroup="2" dimension="2"/>
    <map measureGroup="3" dimension="3"/>
    <map measureGroup="4" dimension="0"/>
    <map measureGroup="4" dimension="2"/>
    <map measureGroup="4" dimension="3"/>
    <map measureGroup="4" dimension="4"/>
    <map measureGroup="4" dimension="6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904.507611458335" createdVersion="5" refreshedVersion="8" minRefreshableVersion="3" recordCount="0" supportSubquery="1" supportAdvancedDrill="1" xr:uid="{932DD484-2981-4BCD-89C3-D55BB651A009}">
  <cacheSource type="external" connectionId="7"/>
  <cacheFields count="3">
    <cacheField name="[routes].[RouteName].[RouteName]" caption="RouteName" numFmtId="0" hierarchy="31" level="1">
      <sharedItems count="10">
        <s v="Airport Express"/>
        <s v="Beachfront Route"/>
        <s v="Central Line"/>
        <s v="City Shuttle"/>
        <s v="East-West Express"/>
        <s v="Market Line"/>
        <s v="North Circular"/>
        <s v="South Line"/>
        <s v="Suburban Line"/>
        <s v="University Line"/>
      </sharedItems>
    </cacheField>
    <cacheField name="[factable].[Time].[Time]" caption="Time" numFmtId="0" hierarchy="20" level="1">
      <sharedItems containsSemiMixedTypes="0" containsNonDate="0" containsDate="1" containsString="0" minDate="1899-12-30T12:34:00" maxDate="1899-12-30T12:34:00" count="1">
        <d v="1899-12-30T12:34:00"/>
      </sharedItems>
      <extLst>
        <ext xmlns:x15="http://schemas.microsoft.com/office/spreadsheetml/2010/11/main" uri="{4F2E5C28-24EA-4eb8-9CBF-B6C8F9C3D259}">
          <x15:cachedUniqueNames>
            <x15:cachedUniqueName index="0" name="[factable].[Time].&amp;[1899-12-30T12:34:00]"/>
          </x15:cachedUniqueNames>
        </ext>
      </extLst>
    </cacheField>
    <cacheField name="[Measures].[Total Riders (Passengers)]" caption="Total Riders (Passengers)" numFmtId="0" hierarchy="46" level="32767"/>
  </cacheFields>
  <cacheHierarchies count="56">
    <cacheHierarchy uniqueName="[buses].[BusID]" caption="BusID" attribute="1" defaultMemberUniqueName="[buses].[BusID].[All]" allUniqueName="[buses].[BusID].[All]" dimensionUniqueName="[buses]" displayFolder="" count="0" memberValueDatatype="20" unbalanced="0"/>
    <cacheHierarchy uniqueName="[buses].[RouteID]" caption="RouteID" attribute="1" defaultMemberUniqueName="[buses].[RouteID].[All]" allUniqueName="[buses].[RouteID].[All]" dimensionUniqueName="[buses]" displayFolder="" count="0" memberValueDatatype="20" unbalanced="0"/>
    <cacheHierarchy uniqueName="[buses].[BusNumber]" caption="BusNumber" attribute="1" defaultMemberUniqueName="[buses].[BusNumber].[All]" allUniqueName="[buses].[BusNumber].[All]" dimensionUniqueName="[buses]" displayFolder="" count="0" memberValueDatatype="130" unbalanced="0"/>
    <cacheHierarchy uniqueName="[buses].[Capacity]" caption="Capacity" attribute="1" defaultMemberUniqueName="[buses].[Capacity].[All]" allUniqueName="[buses].[Capacity].[All]" dimensionUniqueName="[buses]" displayFolder="" count="0" memberValueDatatype="20" unbalanced="0"/>
    <cacheHierarchy uniqueName="[Calculations].[Calculations]" caption="Calculations" attribute="1" defaultMemberUniqueName="[Calculations].[Calculations].[All]" allUniqueName="[Calculations].[Calculations].[All]" dimensionUniqueName="[Calculations]" displayFolder="" count="0" memberValueDatatype="130" unbalanced="0"/>
    <cacheHierarchy uniqueName="[date].[Date]" caption="Date" attribute="1" time="1" defaultMemberUniqueName="[date].[Date].[All]" allUniqueName="[date].[Dat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Month Name]" caption="Month Name" attribute="1" defaultMemberUniqueName="[date].[Month Name].[All]" allUniqueName="[date].[Month Name].[All]" dimensionUniqueName="[date]" displayFolder="" count="0" memberValueDatatype="130" unbalanced="0"/>
    <cacheHierarchy uniqueName="[date].[Month Number]" caption="Month Number" attribute="1" defaultMemberUniqueName="[date].[Month Number].[All]" allUniqueName="[date].[Month Number].[All]" dimensionUniqueName="[date]" displayFolder="" count="0" memberValueDatatype="20" unbalanced="0"/>
    <cacheHierarchy uniqueName="[date].[Day Name]" caption="Day Name" attribute="1" defaultMemberUniqueName="[date].[Day Name].[All]" allUniqueName="[date].[Day Name].[All]" dimensionUniqueName="[date]" displayFolder="" count="0" memberValueDatatype="130" unbalanced="0"/>
    <cacheHierarchy uniqueName="[date].[Day of Week]" caption="Day of Week" attribute="1" defaultMemberUniqueName="[date].[Day of Week].[All]" allUniqueName="[date].[Day of Week].[All]" dimensionUniqueName="[date]" displayFolder="" count="0" memberValueDatatype="20" unbalanced="0"/>
    <cacheHierarchy uniqueName="[date].[WeekType]" caption="WeekType" attribute="1" defaultMemberUniqueName="[date].[WeekType].[All]" allUniqueName="[date].[WeekType].[All]" dimensionUniqueName="[date]" displayFolder="" count="0" memberValueDatatype="130" unbalanced="0"/>
    <cacheHierarchy uniqueName="[demographics].[RiderID]" caption="RiderID" attribute="1" defaultMemberUniqueName="[demographics].[RiderID].[All]" allUniqueName="[demographics].[RiderID].[All]" dimensionUniqueName="[demographics]" displayFolder="" count="0" memberValueDatatype="20" unbalanced="0"/>
    <cacheHierarchy uniqueName="[demographics].[Age]" caption="Age" attribute="1" defaultMemberUniqueName="[demographics].[Age].[All]" allUniqueName="[demographics].[Age].[All]" dimensionUniqueName="[demographics]" displayFolder="" count="0" memberValueDatatype="20" unbalanced="0"/>
    <cacheHierarchy uniqueName="[demographics].[Gender]" caption="Gender" attribute="1" defaultMemberUniqueName="[demographics].[Gender].[All]" allUniqueName="[demographics].[Gender].[All]" dimensionUniqueName="[demographics]" displayFolder="" count="0" memberValueDatatype="130" unbalanced="0"/>
    <cacheHierarchy uniqueName="[demographics].[Occupation]" caption="Occupation" attribute="1" defaultMemberUniqueName="[demographics].[Occupation].[All]" allUniqueName="[demographics].[Occupation].[All]" dimensionUniqueName="[demographics]" displayFolder="" count="0" memberValueDatatype="130" unbalanced="0"/>
    <cacheHierarchy uniqueName="[demographics].[AgeBracket]" caption="AgeBracket" attribute="1" defaultMemberUniqueName="[demographics].[AgeBracket].[All]" allUniqueName="[demographics].[AgeBracket].[All]" dimensionUniqueName="[demographics]" displayFolder="" count="0" memberValueDatatype="130" unbalanced="0"/>
    <cacheHierarchy uniqueName="[factable].[RecordID]" caption="RecordID" attribute="1" defaultMemberUniqueName="[factable].[RecordID].[All]" allUniqueName="[factable].[RecordID].[All]" dimensionUniqueName="[factable]" displayFolder="" count="0" memberValueDatatype="20" unbalanced="0"/>
    <cacheHierarchy uniqueName="[factable].[BusID]" caption="BusID" attribute="1" defaultMemberUniqueName="[factable].[BusID].[All]" allUniqueName="[factable].[BusID].[All]" dimensionUniqueName="[factable]" displayFolder="" count="0" memberValueDatatype="20" unbalanced="0"/>
    <cacheHierarchy uniqueName="[factable].[Date]" caption="Date" attribute="1" time="1" defaultMemberUniqueName="[factable].[Date].[All]" allUniqueName="[factable].[Date].[All]" dimensionUniqueName="[factable]" displayFolder="" count="0" memberValueDatatype="7" unbalanced="0"/>
    <cacheHierarchy uniqueName="[factable].[Time]" caption="Time" attribute="1" time="1" defaultMemberUniqueName="[factable].[Time].[All]" allUniqueName="[factable].[Time].[All]" dimensionUniqueName="[factable]" displayFolder="" count="2" memberValueDatatype="7" unbalanced="0">
      <fieldsUsage count="2">
        <fieldUsage x="-1"/>
        <fieldUsage x="1"/>
      </fieldsUsage>
    </cacheHierarchy>
    <cacheHierarchy uniqueName="[factable].[Operation Moment]" caption="Operation Moment" attribute="1" defaultMemberUniqueName="[factable].[Operation Moment].[All]" allUniqueName="[factable].[Operation Moment].[All]" dimensionUniqueName="[factable]" displayFolder="" count="0" memberValueDatatype="130" unbalanced="0"/>
    <cacheHierarchy uniqueName="[factable].[NumberOfRiders]" caption="NumberOfRiders" attribute="1" defaultMemberUniqueName="[factable].[NumberOfRiders].[All]" allUniqueName="[factable].[NumberOfRiders].[All]" dimensionUniqueName="[factable]" displayFolder="" count="0" memberValueDatatype="20" unbalanced="0"/>
    <cacheHierarchy uniqueName="[factable].[RiderID]" caption="RiderID" attribute="1" defaultMemberUniqueName="[factable].[RiderID].[All]" allUniqueName="[factable].[RiderID].[All]" dimensionUniqueName="[factable]" displayFolder="" count="0" memberValueDatatype="20" unbalanced="0"/>
    <cacheHierarchy uniqueName="[factable].[Time Segmentation]" caption="Time Segmentation" attribute="1" defaultMemberUniqueName="[factable].[Time Segmentation].[All]" allUniqueName="[factable].[Time Segmentation].[All]" dimensionUniqueName="[factable]" displayFolder="" count="0" memberValueDatatype="130" unbalanced="0"/>
    <cacheHierarchy uniqueName="[factable].[Capacity]" caption="Capacity" attribute="1" defaultMemberUniqueName="[factable].[Capacity].[All]" allUniqueName="[factable].[Capacity].[All]" dimensionUniqueName="[factable]" displayFolder="" count="0" memberValueDatatype="20" unbalanced="0"/>
    <cacheHierarchy uniqueName="[factable].[Utilization Percentage]" caption="Utilization Percentage" attribute="1" defaultMemberUniqueName="[factable].[Utilization Percentage].[All]" allUniqueName="[factable].[Utilization Percentage].[All]" dimensionUniqueName="[factable]" displayFolder="" count="0" memberValueDatatype="5" unbalanced="0"/>
    <cacheHierarchy uniqueName="[factable].[Utilization Criterion]" caption="Utilization Criterion" attribute="1" defaultMemberUniqueName="[factable].[Utilization Criterion].[All]" allUniqueName="[factable].[Utilization Criterion].[All]" dimensionUniqueName="[factable]" displayFolder="" count="0" memberValueDatatype="130" unbalanced="0"/>
    <cacheHierarchy uniqueName="[factable].[Time (Hour)]" caption="Time (Hour)" attribute="1" defaultMemberUniqueName="[factable].[Time (Hour)].[All]" allUniqueName="[factable].[Time (Hour)].[All]" dimensionUniqueName="[factable]" displayFolder="" count="0" memberValueDatatype="130" unbalanced="0"/>
    <cacheHierarchy uniqueName="[factable].[Time (Minute)]" caption="Time (Minute)" attribute="1" defaultMemberUniqueName="[factable].[Time (Minute)].[All]" allUniqueName="[factable].[Time (Minute)].[All]" dimensionUniqueName="[factable]" displayFolder="" count="0" memberValueDatatype="130" unbalanced="0"/>
    <cacheHierarchy uniqueName="[routes].[RouteID]" caption="RouteID" attribute="1" defaultMemberUniqueName="[routes].[RouteID].[All]" allUniqueName="[routes].[RouteID].[All]" dimensionUniqueName="[routes]" displayFolder="" count="0" memberValueDatatype="20" unbalanced="0"/>
    <cacheHierarchy uniqueName="[routes].[RouteName]" caption="RouteName" attribute="1" defaultMemberUniqueName="[routes].[RouteName].[All]" allUniqueName="[routes].[RouteName].[All]" dimensionUniqueName="[routes]" displayFolder="" count="2" memberValueDatatype="130" unbalanced="0">
      <fieldsUsage count="2">
        <fieldUsage x="-1"/>
        <fieldUsage x="0"/>
      </fieldsUsage>
    </cacheHierarchy>
    <cacheHierarchy uniqueName="[routes].[StartLocation]" caption="StartLocation" attribute="1" defaultMemberUniqueName="[routes].[StartLocation].[All]" allUniqueName="[routes].[StartLocation].[All]" dimensionUniqueName="[routes]" displayFolder="" count="0" memberValueDatatype="130" unbalanced="0"/>
    <cacheHierarchy uniqueName="[routes].[EndLocation]" caption="EndLocation" attribute="1" defaultMemberUniqueName="[routes].[EndLocation].[All]" allUniqueName="[routes].[EndLocation].[All]" dimensionUniqueName="[routes]" displayFolder="" count="0" memberValueDatatype="130" unbalanced="0"/>
    <cacheHierarchy uniqueName="[routes].[TripFee]" caption="TripFee" attribute="1" defaultMemberUniqueName="[routes].[TripFee].[All]" allUniqueName="[routes].[TripFee].[All]" dimensionUniqueName="[routes]" displayFolder="" count="0" memberValueDatatype="20" unbalanced="0"/>
    <cacheHierarchy uniqueName="[routes].[TakeOffTime]" caption="TakeOffTime" attribute="1" time="1" defaultMemberUniqueName="[routes].[TakeOffTime].[All]" allUniqueName="[routes].[TakeOffTime].[All]" dimensionUniqueName="[routes]" displayFolder="" count="0" memberValueDatatype="7" unbalanced="0"/>
    <cacheHierarchy uniqueName="[routes].[ArrivalTime]" caption="ArrivalTime" attribute="1" time="1" defaultMemberUniqueName="[routes].[ArrivalTime].[All]" allUniqueName="[routes].[ArrivalTime].[All]" dimensionUniqueName="[routes]" displayFolder="" count="0" memberValueDatatype="7" unbalanced="0"/>
    <cacheHierarchy uniqueName="[Measures].[Sum of Age]" caption="Sum of Age" measure="1" displayFolder="" measureGroup="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Age]" caption="Count of Age" measure="1" displayFolder="" measureGroup="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BusID]" caption="Sum of BusID" measure="1" displayFolder="" measureGroup="bus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BusID]" caption="Count of BusID" measure="1" displayFolder="" measureGroup="bus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iderID]" caption="Sum of RiderID" measure="1" displayFolder="" measureGroup="factable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RiderID]" caption="Count of RiderID" measure="1" displayFolder="" measureGroup="factable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NumberOfRiders]" caption="Sum of NumberOfRiders" measure="1" displayFolder="" measureGroup="factabl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Total Transaction]" caption="Total Transaction" measure="1" displayFolder="" measureGroup="Calculations" count="0"/>
    <cacheHierarchy uniqueName="[Measures].[Average Age]" caption="Average Age" measure="1" displayFolder="" measureGroup="Calculations" count="0"/>
    <cacheHierarchy uniqueName="[Measures].[Total Riders (Passengers)]" caption="Total Riders (Passengers)" measure="1" displayFolder="" measureGroup="Calculations" count="0" oneField="1">
      <fieldsUsage count="1">
        <fieldUsage x="2"/>
      </fieldsUsage>
    </cacheHierarchy>
    <cacheHierarchy uniqueName="[Measures].[Avg. Riders Per Trip]" caption="Avg. Riders Per Trip" measure="1" displayFolder="" measureGroup="Calculations" count="0"/>
    <cacheHierarchy uniqueName="[Measures].[Total Buses]" caption="Total Buses" measure="1" displayFolder="" measureGroup="Calculations" count="0"/>
    <cacheHierarchy uniqueName="[Measures].[__XL_Count buses]" caption="__XL_Count buses" measure="1" displayFolder="" measureGroup="buses" count="0" hidden="1"/>
    <cacheHierarchy uniqueName="[Measures].[__XL_Count demographics]" caption="__XL_Count demographics" measure="1" displayFolder="" measureGroup="demographics" count="0" hidden="1"/>
    <cacheHierarchy uniqueName="[Measures].[__XL_Count routes]" caption="__XL_Count routes" measure="1" displayFolder="" measureGroup="routes" count="0" hidden="1"/>
    <cacheHierarchy uniqueName="[Measures].[__XL_Count factable]" caption="__XL_Count factable" measure="1" displayFolder="" measureGroup="factable" count="0" hidden="1"/>
    <cacheHierarchy uniqueName="[Measures].[__XL_Count date]" caption="__XL_Count date" measure="1" displayFolder="" measureGroup="dat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buses" uniqueName="[buses]" caption="buses"/>
    <dimension name="Calculations" uniqueName="[Calculations]" caption="Calculations"/>
    <dimension name="date" uniqueName="[date]" caption="date"/>
    <dimension name="demographics" uniqueName="[demographics]" caption="demographics"/>
    <dimension name="factable" uniqueName="[factable]" caption="factable"/>
    <dimension measure="1" name="Measures" uniqueName="[Measures]" caption="Measures"/>
    <dimension name="routes" uniqueName="[routes]" caption="routes"/>
  </dimensions>
  <measureGroups count="6">
    <measureGroup name="buses" caption="buses"/>
    <measureGroup name="Calculations" caption="Calculations"/>
    <measureGroup name="date" caption="date"/>
    <measureGroup name="demographics" caption="demographics"/>
    <measureGroup name="factable" caption="factable"/>
    <measureGroup name="routes" caption="routes"/>
  </measureGroups>
  <maps count="11">
    <map measureGroup="0" dimension="0"/>
    <map measureGroup="0" dimension="6"/>
    <map measureGroup="1" dimension="1"/>
    <map measureGroup="2" dimension="2"/>
    <map measureGroup="3" dimension="3"/>
    <map measureGroup="4" dimension="0"/>
    <map measureGroup="4" dimension="2"/>
    <map measureGroup="4" dimension="3"/>
    <map measureGroup="4" dimension="4"/>
    <map measureGroup="4" dimension="6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904.507612731482" createdVersion="5" refreshedVersion="8" minRefreshableVersion="3" recordCount="0" supportSubquery="1" supportAdvancedDrill="1" xr:uid="{4AB999CB-DF17-4C02-B0A3-C91A910E1F97}">
  <cacheSource type="external" connectionId="7"/>
  <cacheFields count="4">
    <cacheField name="[routes].[RouteName].[RouteName]" caption="RouteName" numFmtId="0" hierarchy="31" level="1">
      <sharedItems count="10">
        <s v="Airport Express"/>
        <s v="Beachfront Route"/>
        <s v="Central Line"/>
        <s v="City Shuttle"/>
        <s v="East-West Express"/>
        <s v="Market Line"/>
        <s v="North Circular"/>
        <s v="South Line"/>
        <s v="Suburban Line"/>
        <s v="University Line"/>
      </sharedItems>
    </cacheField>
    <cacheField name="[factable].[Time].[Time]" caption="Time" numFmtId="0" hierarchy="20" level="1">
      <sharedItems containsSemiMixedTypes="0" containsNonDate="0" containsDate="1" containsString="0" minDate="1899-12-30T12:34:00" maxDate="1899-12-30T12:34:00" count="1">
        <d v="1899-12-30T12:34:00"/>
      </sharedItems>
      <extLst>
        <ext xmlns:x15="http://schemas.microsoft.com/office/spreadsheetml/2010/11/main" uri="{4F2E5C28-24EA-4eb8-9CBF-B6C8F9C3D259}">
          <x15:cachedUniqueNames>
            <x15:cachedUniqueName index="0" name="[factable].[Time].&amp;[1899-12-30T12:34:00]"/>
          </x15:cachedUniqueNames>
        </ext>
      </extLst>
    </cacheField>
    <cacheField name="[Measures].[Total Riders (Passengers)]" caption="Total Riders (Passengers)" numFmtId="0" hierarchy="46" level="32767"/>
    <cacheField name="[demographics].[Gender].[Gender]" caption="Gender" numFmtId="0" hierarchy="14" level="1">
      <sharedItems count="3">
        <s v="Female"/>
        <s v="Male"/>
        <s v="Other"/>
      </sharedItems>
    </cacheField>
  </cacheFields>
  <cacheHierarchies count="56">
    <cacheHierarchy uniqueName="[buses].[BusID]" caption="BusID" attribute="1" defaultMemberUniqueName="[buses].[BusID].[All]" allUniqueName="[buses].[BusID].[All]" dimensionUniqueName="[buses]" displayFolder="" count="0" memberValueDatatype="20" unbalanced="0"/>
    <cacheHierarchy uniqueName="[buses].[RouteID]" caption="RouteID" attribute="1" defaultMemberUniqueName="[buses].[RouteID].[All]" allUniqueName="[buses].[RouteID].[All]" dimensionUniqueName="[buses]" displayFolder="" count="0" memberValueDatatype="20" unbalanced="0"/>
    <cacheHierarchy uniqueName="[buses].[BusNumber]" caption="BusNumber" attribute="1" defaultMemberUniqueName="[buses].[BusNumber].[All]" allUniqueName="[buses].[BusNumber].[All]" dimensionUniqueName="[buses]" displayFolder="" count="0" memberValueDatatype="130" unbalanced="0"/>
    <cacheHierarchy uniqueName="[buses].[Capacity]" caption="Capacity" attribute="1" defaultMemberUniqueName="[buses].[Capacity].[All]" allUniqueName="[buses].[Capacity].[All]" dimensionUniqueName="[buses]" displayFolder="" count="0" memberValueDatatype="20" unbalanced="0"/>
    <cacheHierarchy uniqueName="[Calculations].[Calculations]" caption="Calculations" attribute="1" defaultMemberUniqueName="[Calculations].[Calculations].[All]" allUniqueName="[Calculations].[Calculations].[All]" dimensionUniqueName="[Calculations]" displayFolder="" count="0" memberValueDatatype="130" unbalanced="0"/>
    <cacheHierarchy uniqueName="[date].[Date]" caption="Date" attribute="1" time="1" defaultMemberUniqueName="[date].[Date].[All]" allUniqueName="[date].[Dat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Month Name]" caption="Month Name" attribute="1" defaultMemberUniqueName="[date].[Month Name].[All]" allUniqueName="[date].[Month Name].[All]" dimensionUniqueName="[date]" displayFolder="" count="0" memberValueDatatype="130" unbalanced="0"/>
    <cacheHierarchy uniqueName="[date].[Month Number]" caption="Month Number" attribute="1" defaultMemberUniqueName="[date].[Month Number].[All]" allUniqueName="[date].[Month Number].[All]" dimensionUniqueName="[date]" displayFolder="" count="0" memberValueDatatype="20" unbalanced="0"/>
    <cacheHierarchy uniqueName="[date].[Day Name]" caption="Day Name" attribute="1" defaultMemberUniqueName="[date].[Day Name].[All]" allUniqueName="[date].[Day Name].[All]" dimensionUniqueName="[date]" displayFolder="" count="0" memberValueDatatype="130" unbalanced="0"/>
    <cacheHierarchy uniqueName="[date].[Day of Week]" caption="Day of Week" attribute="1" defaultMemberUniqueName="[date].[Day of Week].[All]" allUniqueName="[date].[Day of Week].[All]" dimensionUniqueName="[date]" displayFolder="" count="0" memberValueDatatype="20" unbalanced="0"/>
    <cacheHierarchy uniqueName="[date].[WeekType]" caption="WeekType" attribute="1" defaultMemberUniqueName="[date].[WeekType].[All]" allUniqueName="[date].[WeekType].[All]" dimensionUniqueName="[date]" displayFolder="" count="0" memberValueDatatype="130" unbalanced="0"/>
    <cacheHierarchy uniqueName="[demographics].[RiderID]" caption="RiderID" attribute="1" defaultMemberUniqueName="[demographics].[RiderID].[All]" allUniqueName="[demographics].[RiderID].[All]" dimensionUniqueName="[demographics]" displayFolder="" count="0" memberValueDatatype="20" unbalanced="0"/>
    <cacheHierarchy uniqueName="[demographics].[Age]" caption="Age" attribute="1" defaultMemberUniqueName="[demographics].[Age].[All]" allUniqueName="[demographics].[Age].[All]" dimensionUniqueName="[demographics]" displayFolder="" count="0" memberValueDatatype="20" unbalanced="0"/>
    <cacheHierarchy uniqueName="[demographics].[Gender]" caption="Gender" attribute="1" defaultMemberUniqueName="[demographics].[Gender].[All]" allUniqueName="[demographics].[Gender].[All]" dimensionUniqueName="[demographics]" displayFolder="" count="2" memberValueDatatype="130" unbalanced="0">
      <fieldsUsage count="2">
        <fieldUsage x="-1"/>
        <fieldUsage x="3"/>
      </fieldsUsage>
    </cacheHierarchy>
    <cacheHierarchy uniqueName="[demographics].[Occupation]" caption="Occupation" attribute="1" defaultMemberUniqueName="[demographics].[Occupation].[All]" allUniqueName="[demographics].[Occupation].[All]" dimensionUniqueName="[demographics]" displayFolder="" count="0" memberValueDatatype="130" unbalanced="0"/>
    <cacheHierarchy uniqueName="[demographics].[AgeBracket]" caption="AgeBracket" attribute="1" defaultMemberUniqueName="[demographics].[AgeBracket].[All]" allUniqueName="[demographics].[AgeBracket].[All]" dimensionUniqueName="[demographics]" displayFolder="" count="0" memberValueDatatype="130" unbalanced="0"/>
    <cacheHierarchy uniqueName="[factable].[RecordID]" caption="RecordID" attribute="1" defaultMemberUniqueName="[factable].[RecordID].[All]" allUniqueName="[factable].[RecordID].[All]" dimensionUniqueName="[factable]" displayFolder="" count="0" memberValueDatatype="20" unbalanced="0"/>
    <cacheHierarchy uniqueName="[factable].[BusID]" caption="BusID" attribute="1" defaultMemberUniqueName="[factable].[BusID].[All]" allUniqueName="[factable].[BusID].[All]" dimensionUniqueName="[factable]" displayFolder="" count="0" memberValueDatatype="20" unbalanced="0"/>
    <cacheHierarchy uniqueName="[factable].[Date]" caption="Date" attribute="1" time="1" defaultMemberUniqueName="[factable].[Date].[All]" allUniqueName="[factable].[Date].[All]" dimensionUniqueName="[factable]" displayFolder="" count="0" memberValueDatatype="7" unbalanced="0"/>
    <cacheHierarchy uniqueName="[factable].[Time]" caption="Time" attribute="1" time="1" defaultMemberUniqueName="[factable].[Time].[All]" allUniqueName="[factable].[Time].[All]" dimensionUniqueName="[factable]" displayFolder="" count="2" memberValueDatatype="7" unbalanced="0">
      <fieldsUsage count="2">
        <fieldUsage x="-1"/>
        <fieldUsage x="1"/>
      </fieldsUsage>
    </cacheHierarchy>
    <cacheHierarchy uniqueName="[factable].[Operation Moment]" caption="Operation Moment" attribute="1" defaultMemberUniqueName="[factable].[Operation Moment].[All]" allUniqueName="[factable].[Operation Moment].[All]" dimensionUniqueName="[factable]" displayFolder="" count="0" memberValueDatatype="130" unbalanced="0"/>
    <cacheHierarchy uniqueName="[factable].[NumberOfRiders]" caption="NumberOfRiders" attribute="1" defaultMemberUniqueName="[factable].[NumberOfRiders].[All]" allUniqueName="[factable].[NumberOfRiders].[All]" dimensionUniqueName="[factable]" displayFolder="" count="0" memberValueDatatype="20" unbalanced="0"/>
    <cacheHierarchy uniqueName="[factable].[RiderID]" caption="RiderID" attribute="1" defaultMemberUniqueName="[factable].[RiderID].[All]" allUniqueName="[factable].[RiderID].[All]" dimensionUniqueName="[factable]" displayFolder="" count="0" memberValueDatatype="20" unbalanced="0"/>
    <cacheHierarchy uniqueName="[factable].[Time Segmentation]" caption="Time Segmentation" attribute="1" defaultMemberUniqueName="[factable].[Time Segmentation].[All]" allUniqueName="[factable].[Time Segmentation].[All]" dimensionUniqueName="[factable]" displayFolder="" count="0" memberValueDatatype="130" unbalanced="0"/>
    <cacheHierarchy uniqueName="[factable].[Capacity]" caption="Capacity" attribute="1" defaultMemberUniqueName="[factable].[Capacity].[All]" allUniqueName="[factable].[Capacity].[All]" dimensionUniqueName="[factable]" displayFolder="" count="0" memberValueDatatype="20" unbalanced="0"/>
    <cacheHierarchy uniqueName="[factable].[Utilization Percentage]" caption="Utilization Percentage" attribute="1" defaultMemberUniqueName="[factable].[Utilization Percentage].[All]" allUniqueName="[factable].[Utilization Percentage].[All]" dimensionUniqueName="[factable]" displayFolder="" count="0" memberValueDatatype="5" unbalanced="0"/>
    <cacheHierarchy uniqueName="[factable].[Utilization Criterion]" caption="Utilization Criterion" attribute="1" defaultMemberUniqueName="[factable].[Utilization Criterion].[All]" allUniqueName="[factable].[Utilization Criterion].[All]" dimensionUniqueName="[factable]" displayFolder="" count="0" memberValueDatatype="130" unbalanced="0"/>
    <cacheHierarchy uniqueName="[factable].[Time (Hour)]" caption="Time (Hour)" attribute="1" defaultMemberUniqueName="[factable].[Time (Hour)].[All]" allUniqueName="[factable].[Time (Hour)].[All]" dimensionUniqueName="[factable]" displayFolder="" count="0" memberValueDatatype="130" unbalanced="0"/>
    <cacheHierarchy uniqueName="[factable].[Time (Minute)]" caption="Time (Minute)" attribute="1" defaultMemberUniqueName="[factable].[Time (Minute)].[All]" allUniqueName="[factable].[Time (Minute)].[All]" dimensionUniqueName="[factable]" displayFolder="" count="0" memberValueDatatype="130" unbalanced="0"/>
    <cacheHierarchy uniqueName="[routes].[RouteID]" caption="RouteID" attribute="1" defaultMemberUniqueName="[routes].[RouteID].[All]" allUniqueName="[routes].[RouteID].[All]" dimensionUniqueName="[routes]" displayFolder="" count="0" memberValueDatatype="20" unbalanced="0"/>
    <cacheHierarchy uniqueName="[routes].[RouteName]" caption="RouteName" attribute="1" defaultMemberUniqueName="[routes].[RouteName].[All]" allUniqueName="[routes].[RouteName].[All]" dimensionUniqueName="[routes]" displayFolder="" count="2" memberValueDatatype="130" unbalanced="0">
      <fieldsUsage count="2">
        <fieldUsage x="-1"/>
        <fieldUsage x="0"/>
      </fieldsUsage>
    </cacheHierarchy>
    <cacheHierarchy uniqueName="[routes].[StartLocation]" caption="StartLocation" attribute="1" defaultMemberUniqueName="[routes].[StartLocation].[All]" allUniqueName="[routes].[StartLocation].[All]" dimensionUniqueName="[routes]" displayFolder="" count="0" memberValueDatatype="130" unbalanced="0"/>
    <cacheHierarchy uniqueName="[routes].[EndLocation]" caption="EndLocation" attribute="1" defaultMemberUniqueName="[routes].[EndLocation].[All]" allUniqueName="[routes].[EndLocation].[All]" dimensionUniqueName="[routes]" displayFolder="" count="0" memberValueDatatype="130" unbalanced="0"/>
    <cacheHierarchy uniqueName="[routes].[TripFee]" caption="TripFee" attribute="1" defaultMemberUniqueName="[routes].[TripFee].[All]" allUniqueName="[routes].[TripFee].[All]" dimensionUniqueName="[routes]" displayFolder="" count="0" memberValueDatatype="20" unbalanced="0"/>
    <cacheHierarchy uniqueName="[routes].[TakeOffTime]" caption="TakeOffTime" attribute="1" time="1" defaultMemberUniqueName="[routes].[TakeOffTime].[All]" allUniqueName="[routes].[TakeOffTime].[All]" dimensionUniqueName="[routes]" displayFolder="" count="0" memberValueDatatype="7" unbalanced="0"/>
    <cacheHierarchy uniqueName="[routes].[ArrivalTime]" caption="ArrivalTime" attribute="1" time="1" defaultMemberUniqueName="[routes].[ArrivalTime].[All]" allUniqueName="[routes].[ArrivalTime].[All]" dimensionUniqueName="[routes]" displayFolder="" count="0" memberValueDatatype="7" unbalanced="0"/>
    <cacheHierarchy uniqueName="[Measures].[Sum of Age]" caption="Sum of Age" measure="1" displayFolder="" measureGroup="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Age]" caption="Count of Age" measure="1" displayFolder="" measureGroup="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BusID]" caption="Sum of BusID" measure="1" displayFolder="" measureGroup="bus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BusID]" caption="Count of BusID" measure="1" displayFolder="" measureGroup="bus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iderID]" caption="Sum of RiderID" measure="1" displayFolder="" measureGroup="factable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RiderID]" caption="Count of RiderID" measure="1" displayFolder="" measureGroup="factable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NumberOfRiders]" caption="Sum of NumberOfRiders" measure="1" displayFolder="" measureGroup="factabl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Total Transaction]" caption="Total Transaction" measure="1" displayFolder="" measureGroup="Calculations" count="0"/>
    <cacheHierarchy uniqueName="[Measures].[Average Age]" caption="Average Age" measure="1" displayFolder="" measureGroup="Calculations" count="0"/>
    <cacheHierarchy uniqueName="[Measures].[Total Riders (Passengers)]" caption="Total Riders (Passengers)" measure="1" displayFolder="" measureGroup="Calculations" count="0" oneField="1">
      <fieldsUsage count="1">
        <fieldUsage x="2"/>
      </fieldsUsage>
    </cacheHierarchy>
    <cacheHierarchy uniqueName="[Measures].[Avg. Riders Per Trip]" caption="Avg. Riders Per Trip" measure="1" displayFolder="" measureGroup="Calculations" count="0"/>
    <cacheHierarchy uniqueName="[Measures].[Total Buses]" caption="Total Buses" measure="1" displayFolder="" measureGroup="Calculations" count="0"/>
    <cacheHierarchy uniqueName="[Measures].[__XL_Count buses]" caption="__XL_Count buses" measure="1" displayFolder="" measureGroup="buses" count="0" hidden="1"/>
    <cacheHierarchy uniqueName="[Measures].[__XL_Count demographics]" caption="__XL_Count demographics" measure="1" displayFolder="" measureGroup="demographics" count="0" hidden="1"/>
    <cacheHierarchy uniqueName="[Measures].[__XL_Count routes]" caption="__XL_Count routes" measure="1" displayFolder="" measureGroup="routes" count="0" hidden="1"/>
    <cacheHierarchy uniqueName="[Measures].[__XL_Count factable]" caption="__XL_Count factable" measure="1" displayFolder="" measureGroup="factable" count="0" hidden="1"/>
    <cacheHierarchy uniqueName="[Measures].[__XL_Count date]" caption="__XL_Count date" measure="1" displayFolder="" measureGroup="dat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buses" uniqueName="[buses]" caption="buses"/>
    <dimension name="Calculations" uniqueName="[Calculations]" caption="Calculations"/>
    <dimension name="date" uniqueName="[date]" caption="date"/>
    <dimension name="demographics" uniqueName="[demographics]" caption="demographics"/>
    <dimension name="factable" uniqueName="[factable]" caption="factable"/>
    <dimension measure="1" name="Measures" uniqueName="[Measures]" caption="Measures"/>
    <dimension name="routes" uniqueName="[routes]" caption="routes"/>
  </dimensions>
  <measureGroups count="6">
    <measureGroup name="buses" caption="buses"/>
    <measureGroup name="Calculations" caption="Calculations"/>
    <measureGroup name="date" caption="date"/>
    <measureGroup name="demographics" caption="demographics"/>
    <measureGroup name="factable" caption="factable"/>
    <measureGroup name="routes" caption="routes"/>
  </measureGroups>
  <maps count="11">
    <map measureGroup="0" dimension="0"/>
    <map measureGroup="0" dimension="6"/>
    <map measureGroup="1" dimension="1"/>
    <map measureGroup="2" dimension="2"/>
    <map measureGroup="3" dimension="3"/>
    <map measureGroup="4" dimension="0"/>
    <map measureGroup="4" dimension="2"/>
    <map measureGroup="4" dimension="3"/>
    <map measureGroup="4" dimension="4"/>
    <map measureGroup="4" dimension="6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904.507593518516" createdVersion="5" refreshedVersion="8" minRefreshableVersion="3" recordCount="0" supportSubquery="1" supportAdvancedDrill="1" xr:uid="{501AF4BE-3468-45C9-B0F6-220B4E7E3A3C}">
  <cacheSource type="external" connectionId="7"/>
  <cacheFields count="3">
    <cacheField name="[factable].[Time].[Time]" caption="Time" numFmtId="0" hierarchy="20" level="1">
      <sharedItems containsSemiMixedTypes="0" containsNonDate="0" containsDate="1" containsString="0" minDate="1899-12-30T12:34:00" maxDate="1899-12-30T12:34:00" count="1">
        <d v="1899-12-30T12:34:00"/>
      </sharedItems>
      <extLst>
        <ext xmlns:x15="http://schemas.microsoft.com/office/spreadsheetml/2010/11/main" uri="{4F2E5C28-24EA-4eb8-9CBF-B6C8F9C3D259}">
          <x15:cachedUniqueNames>
            <x15:cachedUniqueName index="0" name="[factable].[Time].&amp;[1899-12-30T12:34:00]"/>
          </x15:cachedUniqueNames>
        </ext>
      </extLst>
    </cacheField>
    <cacheField name="[Measures].[Total Riders (Passengers)]" caption="Total Riders (Passengers)" numFmtId="0" hierarchy="46" level="32767"/>
    <cacheField name="[Measures].[Average Age]" caption="Average Age" numFmtId="0" hierarchy="45" level="32767"/>
  </cacheFields>
  <cacheHierarchies count="56">
    <cacheHierarchy uniqueName="[buses].[BusID]" caption="BusID" attribute="1" defaultMemberUniqueName="[buses].[BusID].[All]" allUniqueName="[buses].[BusID].[All]" dimensionUniqueName="[buses]" displayFolder="" count="0" memberValueDatatype="20" unbalanced="0"/>
    <cacheHierarchy uniqueName="[buses].[RouteID]" caption="RouteID" attribute="1" defaultMemberUniqueName="[buses].[RouteID].[All]" allUniqueName="[buses].[RouteID].[All]" dimensionUniqueName="[buses]" displayFolder="" count="0" memberValueDatatype="20" unbalanced="0"/>
    <cacheHierarchy uniqueName="[buses].[BusNumber]" caption="BusNumber" attribute="1" defaultMemberUniqueName="[buses].[BusNumber].[All]" allUniqueName="[buses].[BusNumber].[All]" dimensionUniqueName="[buses]" displayFolder="" count="0" memberValueDatatype="130" unbalanced="0"/>
    <cacheHierarchy uniqueName="[buses].[Capacity]" caption="Capacity" attribute="1" defaultMemberUniqueName="[buses].[Capacity].[All]" allUniqueName="[buses].[Capacity].[All]" dimensionUniqueName="[buses]" displayFolder="" count="0" memberValueDatatype="20" unbalanced="0"/>
    <cacheHierarchy uniqueName="[Calculations].[Calculations]" caption="Calculations" attribute="1" defaultMemberUniqueName="[Calculations].[Calculations].[All]" allUniqueName="[Calculations].[Calculations].[All]" dimensionUniqueName="[Calculations]" displayFolder="" count="0" memberValueDatatype="130" unbalanced="0"/>
    <cacheHierarchy uniqueName="[date].[Date]" caption="Date" attribute="1" time="1" defaultMemberUniqueName="[date].[Date].[All]" allUniqueName="[date].[Dat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Month Name]" caption="Month Name" attribute="1" defaultMemberUniqueName="[date].[Month Name].[All]" allUniqueName="[date].[Month Name].[All]" dimensionUniqueName="[date]" displayFolder="" count="0" memberValueDatatype="130" unbalanced="0"/>
    <cacheHierarchy uniqueName="[date].[Month Number]" caption="Month Number" attribute="1" defaultMemberUniqueName="[date].[Month Number].[All]" allUniqueName="[date].[Month Number].[All]" dimensionUniqueName="[date]" displayFolder="" count="0" memberValueDatatype="20" unbalanced="0"/>
    <cacheHierarchy uniqueName="[date].[Day Name]" caption="Day Name" attribute="1" defaultMemberUniqueName="[date].[Day Name].[All]" allUniqueName="[date].[Day Name].[All]" dimensionUniqueName="[date]" displayFolder="" count="0" memberValueDatatype="130" unbalanced="0"/>
    <cacheHierarchy uniqueName="[date].[Day of Week]" caption="Day of Week" attribute="1" defaultMemberUniqueName="[date].[Day of Week].[All]" allUniqueName="[date].[Day of Week].[All]" dimensionUniqueName="[date]" displayFolder="" count="0" memberValueDatatype="20" unbalanced="0"/>
    <cacheHierarchy uniqueName="[date].[WeekType]" caption="WeekType" attribute="1" defaultMemberUniqueName="[date].[WeekType].[All]" allUniqueName="[date].[WeekType].[All]" dimensionUniqueName="[date]" displayFolder="" count="0" memberValueDatatype="130" unbalanced="0"/>
    <cacheHierarchy uniqueName="[demographics].[RiderID]" caption="RiderID" attribute="1" defaultMemberUniqueName="[demographics].[RiderID].[All]" allUniqueName="[demographics].[RiderID].[All]" dimensionUniqueName="[demographics]" displayFolder="" count="0" memberValueDatatype="20" unbalanced="0"/>
    <cacheHierarchy uniqueName="[demographics].[Age]" caption="Age" attribute="1" defaultMemberUniqueName="[demographics].[Age].[All]" allUniqueName="[demographics].[Age].[All]" dimensionUniqueName="[demographics]" displayFolder="" count="0" memberValueDatatype="20" unbalanced="0"/>
    <cacheHierarchy uniqueName="[demographics].[Gender]" caption="Gender" attribute="1" defaultMemberUniqueName="[demographics].[Gender].[All]" allUniqueName="[demographics].[Gender].[All]" dimensionUniqueName="[demographics]" displayFolder="" count="0" memberValueDatatype="130" unbalanced="0"/>
    <cacheHierarchy uniqueName="[demographics].[Occupation]" caption="Occupation" attribute="1" defaultMemberUniqueName="[demographics].[Occupation].[All]" allUniqueName="[demographics].[Occupation].[All]" dimensionUniqueName="[demographics]" displayFolder="" count="0" memberValueDatatype="130" unbalanced="0"/>
    <cacheHierarchy uniqueName="[demographics].[AgeBracket]" caption="AgeBracket" attribute="1" defaultMemberUniqueName="[demographics].[AgeBracket].[All]" allUniqueName="[demographics].[AgeBracket].[All]" dimensionUniqueName="[demographics]" displayFolder="" count="0" memberValueDatatype="130" unbalanced="0"/>
    <cacheHierarchy uniqueName="[factable].[RecordID]" caption="RecordID" attribute="1" defaultMemberUniqueName="[factable].[RecordID].[All]" allUniqueName="[factable].[RecordID].[All]" dimensionUniqueName="[factable]" displayFolder="" count="0" memberValueDatatype="20" unbalanced="0"/>
    <cacheHierarchy uniqueName="[factable].[BusID]" caption="BusID" attribute="1" defaultMemberUniqueName="[factable].[BusID].[All]" allUniqueName="[factable].[BusID].[All]" dimensionUniqueName="[factable]" displayFolder="" count="0" memberValueDatatype="20" unbalanced="0"/>
    <cacheHierarchy uniqueName="[factable].[Date]" caption="Date" attribute="1" time="1" defaultMemberUniqueName="[factable].[Date].[All]" allUniqueName="[factable].[Date].[All]" dimensionUniqueName="[factable]" displayFolder="" count="0" memberValueDatatype="7" unbalanced="0"/>
    <cacheHierarchy uniqueName="[factable].[Time]" caption="Time" attribute="1" time="1" defaultMemberUniqueName="[factable].[Time].[All]" allUniqueName="[factable].[Time].[All]" dimensionUniqueName="[factable]" displayFolder="" count="2" memberValueDatatype="7" unbalanced="0">
      <fieldsUsage count="2">
        <fieldUsage x="-1"/>
        <fieldUsage x="0"/>
      </fieldsUsage>
    </cacheHierarchy>
    <cacheHierarchy uniqueName="[factable].[Operation Moment]" caption="Operation Moment" attribute="1" defaultMemberUniqueName="[factable].[Operation Moment].[All]" allUniqueName="[factable].[Operation Moment].[All]" dimensionUniqueName="[factable]" displayFolder="" count="0" memberValueDatatype="130" unbalanced="0"/>
    <cacheHierarchy uniqueName="[factable].[NumberOfRiders]" caption="NumberOfRiders" attribute="1" defaultMemberUniqueName="[factable].[NumberOfRiders].[All]" allUniqueName="[factable].[NumberOfRiders].[All]" dimensionUniqueName="[factable]" displayFolder="" count="0" memberValueDatatype="20" unbalanced="0"/>
    <cacheHierarchy uniqueName="[factable].[RiderID]" caption="RiderID" attribute="1" defaultMemberUniqueName="[factable].[RiderID].[All]" allUniqueName="[factable].[RiderID].[All]" dimensionUniqueName="[factable]" displayFolder="" count="0" memberValueDatatype="20" unbalanced="0"/>
    <cacheHierarchy uniqueName="[factable].[Time Segmentation]" caption="Time Segmentation" attribute="1" defaultMemberUniqueName="[factable].[Time Segmentation].[All]" allUniqueName="[factable].[Time Segmentation].[All]" dimensionUniqueName="[factable]" displayFolder="" count="0" memberValueDatatype="130" unbalanced="0"/>
    <cacheHierarchy uniqueName="[factable].[Capacity]" caption="Capacity" attribute="1" defaultMemberUniqueName="[factable].[Capacity].[All]" allUniqueName="[factable].[Capacity].[All]" dimensionUniqueName="[factable]" displayFolder="" count="0" memberValueDatatype="20" unbalanced="0"/>
    <cacheHierarchy uniqueName="[factable].[Utilization Percentage]" caption="Utilization Percentage" attribute="1" defaultMemberUniqueName="[factable].[Utilization Percentage].[All]" allUniqueName="[factable].[Utilization Percentage].[All]" dimensionUniqueName="[factable]" displayFolder="" count="0" memberValueDatatype="5" unbalanced="0"/>
    <cacheHierarchy uniqueName="[factable].[Utilization Criterion]" caption="Utilization Criterion" attribute="1" defaultMemberUniqueName="[factable].[Utilization Criterion].[All]" allUniqueName="[factable].[Utilization Criterion].[All]" dimensionUniqueName="[factable]" displayFolder="" count="0" memberValueDatatype="130" unbalanced="0"/>
    <cacheHierarchy uniqueName="[factable].[Time (Hour)]" caption="Time (Hour)" attribute="1" defaultMemberUniqueName="[factable].[Time (Hour)].[All]" allUniqueName="[factable].[Time (Hour)].[All]" dimensionUniqueName="[factable]" displayFolder="" count="0" memberValueDatatype="130" unbalanced="0"/>
    <cacheHierarchy uniqueName="[factable].[Time (Minute)]" caption="Time (Minute)" attribute="1" defaultMemberUniqueName="[factable].[Time (Minute)].[All]" allUniqueName="[factable].[Time (Minute)].[All]" dimensionUniqueName="[factable]" displayFolder="" count="0" memberValueDatatype="130" unbalanced="0"/>
    <cacheHierarchy uniqueName="[routes].[RouteID]" caption="RouteID" attribute="1" defaultMemberUniqueName="[routes].[RouteID].[All]" allUniqueName="[routes].[RouteID].[All]" dimensionUniqueName="[routes]" displayFolder="" count="0" memberValueDatatype="20" unbalanced="0"/>
    <cacheHierarchy uniqueName="[routes].[RouteName]" caption="RouteName" attribute="1" defaultMemberUniqueName="[routes].[RouteName].[All]" allUniqueName="[routes].[RouteName].[All]" dimensionUniqueName="[routes]" displayFolder="" count="0" memberValueDatatype="130" unbalanced="0"/>
    <cacheHierarchy uniqueName="[routes].[StartLocation]" caption="StartLocation" attribute="1" defaultMemberUniqueName="[routes].[StartLocation].[All]" allUniqueName="[routes].[StartLocation].[All]" dimensionUniqueName="[routes]" displayFolder="" count="0" memberValueDatatype="130" unbalanced="0"/>
    <cacheHierarchy uniqueName="[routes].[EndLocation]" caption="EndLocation" attribute="1" defaultMemberUniqueName="[routes].[EndLocation].[All]" allUniqueName="[routes].[EndLocation].[All]" dimensionUniqueName="[routes]" displayFolder="" count="0" memberValueDatatype="130" unbalanced="0"/>
    <cacheHierarchy uniqueName="[routes].[TripFee]" caption="TripFee" attribute="1" defaultMemberUniqueName="[routes].[TripFee].[All]" allUniqueName="[routes].[TripFee].[All]" dimensionUniqueName="[routes]" displayFolder="" count="0" memberValueDatatype="20" unbalanced="0"/>
    <cacheHierarchy uniqueName="[routes].[TakeOffTime]" caption="TakeOffTime" attribute="1" time="1" defaultMemberUniqueName="[routes].[TakeOffTime].[All]" allUniqueName="[routes].[TakeOffTime].[All]" dimensionUniqueName="[routes]" displayFolder="" count="0" memberValueDatatype="7" unbalanced="0"/>
    <cacheHierarchy uniqueName="[routes].[ArrivalTime]" caption="ArrivalTime" attribute="1" time="1" defaultMemberUniqueName="[routes].[ArrivalTime].[All]" allUniqueName="[routes].[ArrivalTime].[All]" dimensionUniqueName="[routes]" displayFolder="" count="0" memberValueDatatype="7" unbalanced="0"/>
    <cacheHierarchy uniqueName="[Measures].[Sum of Age]" caption="Sum of Age" measure="1" displayFolder="" measureGroup="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Age]" caption="Count of Age" measure="1" displayFolder="" measureGroup="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BusID]" caption="Sum of BusID" measure="1" displayFolder="" measureGroup="bus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BusID]" caption="Count of BusID" measure="1" displayFolder="" measureGroup="buses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RiderID]" caption="Sum of RiderID" measure="1" displayFolder="" measureGroup="factable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RiderID]" caption="Count of RiderID" measure="1" displayFolder="" measureGroup="factable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NumberOfRiders]" caption="Sum of NumberOfRiders" measure="1" displayFolder="" measureGroup="factabl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Total Transaction]" caption="Total Transaction" measure="1" displayFolder="" measureGroup="Calculations" count="0"/>
    <cacheHierarchy uniqueName="[Measures].[Average Age]" caption="Average Age" measure="1" displayFolder="" measureGroup="Calculations" count="0" oneField="1">
      <fieldsUsage count="1">
        <fieldUsage x="2"/>
      </fieldsUsage>
    </cacheHierarchy>
    <cacheHierarchy uniqueName="[Measures].[Total Riders (Passengers)]" caption="Total Riders (Passengers)" measure="1" displayFolder="" measureGroup="Calculations" count="0" oneField="1">
      <fieldsUsage count="1">
        <fieldUsage x="1"/>
      </fieldsUsage>
    </cacheHierarchy>
    <cacheHierarchy uniqueName="[Measures].[Avg. Riders Per Trip]" caption="Avg. Riders Per Trip" measure="1" displayFolder="" measureGroup="Calculations" count="0"/>
    <cacheHierarchy uniqueName="[Measures].[Total Buses]" caption="Total Buses" measure="1" displayFolder="" measureGroup="Calculations" count="0"/>
    <cacheHierarchy uniqueName="[Measures].[__XL_Count buses]" caption="__XL_Count buses" measure="1" displayFolder="" measureGroup="buses" count="0" hidden="1"/>
    <cacheHierarchy uniqueName="[Measures].[__XL_Count demographics]" caption="__XL_Count demographics" measure="1" displayFolder="" measureGroup="demographics" count="0" hidden="1"/>
    <cacheHierarchy uniqueName="[Measures].[__XL_Count routes]" caption="__XL_Count routes" measure="1" displayFolder="" measureGroup="routes" count="0" hidden="1"/>
    <cacheHierarchy uniqueName="[Measures].[__XL_Count factable]" caption="__XL_Count factable" measure="1" displayFolder="" measureGroup="factable" count="0" hidden="1"/>
    <cacheHierarchy uniqueName="[Measures].[__XL_Count date]" caption="__XL_Count date" measure="1" displayFolder="" measureGroup="dat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buses" uniqueName="[buses]" caption="buses"/>
    <dimension name="Calculations" uniqueName="[Calculations]" caption="Calculations"/>
    <dimension name="date" uniqueName="[date]" caption="date"/>
    <dimension name="demographics" uniqueName="[demographics]" caption="demographics"/>
    <dimension name="factable" uniqueName="[factable]" caption="factable"/>
    <dimension measure="1" name="Measures" uniqueName="[Measures]" caption="Measures"/>
    <dimension name="routes" uniqueName="[routes]" caption="routes"/>
  </dimensions>
  <measureGroups count="6">
    <measureGroup name="buses" caption="buses"/>
    <measureGroup name="Calculations" caption="Calculations"/>
    <measureGroup name="date" caption="date"/>
    <measureGroup name="demographics" caption="demographics"/>
    <measureGroup name="factable" caption="factable"/>
    <measureGroup name="routes" caption="routes"/>
  </measureGroups>
  <maps count="11">
    <map measureGroup="0" dimension="0"/>
    <map measureGroup="0" dimension="6"/>
    <map measureGroup="1" dimension="1"/>
    <map measureGroup="2" dimension="2"/>
    <map measureGroup="3" dimension="3"/>
    <map measureGroup="4" dimension="0"/>
    <map measureGroup="4" dimension="2"/>
    <map measureGroup="4" dimension="3"/>
    <map measureGroup="4" dimension="4"/>
    <map measureGroup="4" dimension="6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C258FE-4F54-403C-BDD2-449834AB6375}" name="PivotTable1" cacheId="10" applyNumberFormats="0" applyBorderFormats="0" applyFontFormats="0" applyPatternFormats="0" applyAlignmentFormats="0" applyWidthHeightFormats="1" dataCaption="Values" tag="8d0ed37b-dfa5-46ff-8b2f-dd15261cc1a4" updatedVersion="8" minRefreshableVersion="3" useAutoFormatting="1" subtotalHiddenItems="1" itemPrintTitles="1" createdVersion="5" indent="0" outline="1" outlineData="1" multipleFieldFilters="0">
  <location ref="A1:B2" firstHeaderRow="0" firstDataRow="1" firstDataCol="0"/>
  <pivotFields count="2"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fld="1" subtotal="count" baseField="0" baseItem="0"/>
  </dataField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Age"/>
    <pivotHierarchy dragToData="1"/>
    <pivotHierarchy dragToData="1" caption="Count of BusID"/>
    <pivotHierarchy dragToData="1"/>
    <pivotHierarchy dragToData="1" caption="Count of RiderID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emographics]"/>
        <x15:activeTabTopLevelEntity name="[buses]"/>
        <x15:activeTabTopLevelEntity name="[Calculations]"/>
        <x15:activeTabTopLevelEntity name="[fac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760E0C-7FD0-4822-8B85-0FD01664AF48}" name="PivotTable5" cacheId="8" applyNumberFormats="0" applyBorderFormats="0" applyFontFormats="0" applyPatternFormats="0" applyAlignmentFormats="0" applyWidthHeightFormats="1" dataCaption="Values" tag="2855b2fe-4797-49e8-b1c4-75b06f6b140e" updatedVersion="8" minRefreshableVersion="3" useAutoFormatting="1" subtotalHiddenItems="1" rowGrandTotals="0" colGrandTotals="0" itemPrintTitles="1" createdVersion="5" indent="0" compact="0" compactData="0" multipleFieldFilters="0" chartFormat="3">
  <location ref="G14:G15" firstHeaderRow="1" firstDataRow="1" firstDataCol="0"/>
  <pivotFields count="3">
    <pivotField dataField="1" compact="0" outline="0" subtotalTop="0" showAll="0" defaultSubtotal="0"/>
    <pivotField compact="0" allDrilled="1" outline="0" subtotalTop="0" showAll="0" measureFilter="1" dataSourceSort="1" defaultSubtotal="0" defaultAttributeDrillState="1">
      <items count="1">
        <item x="0"/>
      </items>
    </pivotField>
    <pivotField compact="0" allDrilled="1" outline="0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Items count="1">
    <i/>
  </rowItems>
  <colItems count="1">
    <i/>
  </colItems>
  <dataFields count="1">
    <dataField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Age"/>
    <pivotHierarchy dragToData="1"/>
    <pivotHierarchy dragToData="1" caption="Count of BusID"/>
    <pivotHierarchy dragToData="1"/>
    <pivotHierarchy dragToData="1" caption="Count of RiderID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1" type="count" id="2" iMeasureHier="46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emographics]"/>
        <x15:activeTabTopLevelEntity name="[buses]"/>
        <x15:activeTabTopLevelEntity name="[Calculations]"/>
        <x15:activeTabTopLevelEntity name="[factable]"/>
        <x15:activeTabTopLevelEntity name="[rou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A9DF08-63D5-473C-BDE4-EBA82058FD62}" name="PivotTable10" cacheId="7" applyNumberFormats="0" applyBorderFormats="0" applyFontFormats="0" applyPatternFormats="0" applyAlignmentFormats="0" applyWidthHeightFormats="1" dataCaption="Values" tag="e8b03fb2-c862-461e-8f12-51cec7e5834e" updatedVersion="8" minRefreshableVersion="3" useAutoFormatting="1" subtotalHiddenItems="1" rowGrandTotals="0" colGrandTotals="0" itemPrintTitles="1" createdVersion="5" indent="0" compact="0" compactData="0" multipleFieldFilters="0" chartFormat="13">
  <location ref="AI4:AJ6" firstHeaderRow="1" firstDataRow="1" firstDataCol="1"/>
  <pivotFields count="5">
    <pivotField dataField="1" compact="0" outline="0" subtotalTop="0" showAll="0" defaultSubtotal="0"/>
    <pivotField compact="0" allDrilled="1" outline="0" subtotalTop="0" showAll="0" measureFilter="1" dataSourceSort="1" defaultSubtotal="0" defaultAttributeDrillState="1">
      <items count="1">
        <item x="0"/>
      </items>
    </pivotField>
    <pivotField compact="0" allDrilled="1" outline="0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allDrilled="1" outline="0" subtotalTop="0" showAll="0" measureFilter="1" dataSourceSort="1" defaultSubtotal="0" defaultAttributeDrillState="1">
      <items count="1">
        <item x="0"/>
      </items>
    </pivotField>
    <pivotField axis="axisRow" compact="0" allDrilled="1" outline="0" subtotalTop="0" showAll="0" dataSourceSort="1" defaultSubtotal="0" defaultAttributeDrillState="1">
      <items count="2">
        <item x="0"/>
        <item x="1"/>
      </items>
    </pivotField>
  </pivotFields>
  <rowFields count="1">
    <field x="4"/>
  </rowFields>
  <rowItems count="2">
    <i>
      <x/>
    </i>
    <i>
      <x v="1"/>
    </i>
  </rowItems>
  <colItems count="1">
    <i/>
  </colItems>
  <dataFields count="1">
    <dataField fld="0" subtotal="count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Age"/>
    <pivotHierarchy dragToData="1"/>
    <pivotHierarchy dragToData="1" caption="Count of BusID"/>
    <pivotHierarchy dragToData="1"/>
    <pivotHierarchy dragToData="1" caption="Count of RiderID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2">
    <filter fld="1" type="count" id="2" iMeasureHier="46">
      <autoFilter ref="A1">
        <filterColumn colId="0">
          <top10 val="1" filterVal="1"/>
        </filterColumn>
      </autoFilter>
    </filter>
    <filter fld="3" type="count" id="3" iMeasureHier="46">
      <autoFilter ref="A1">
        <filterColumn colId="0">
          <top10 top="0" val="1" filterVal="1"/>
        </filterColumn>
      </autoFilter>
    </filter>
  </filters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emographics]"/>
        <x15:activeTabTopLevelEntity name="[buses]"/>
        <x15:activeTabTopLevelEntity name="[Calculations]"/>
        <x15:activeTabTopLevelEntity name="[factable]"/>
        <x15:activeTabTopLevelEntity name="[routes]"/>
        <x15:activeTabTopLevelEntity name="[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584DFC-33AC-4738-B7F6-8B2D01EF6B5F}" name="PivotTable11" cacheId="6" applyNumberFormats="0" applyBorderFormats="0" applyFontFormats="0" applyPatternFormats="0" applyAlignmentFormats="0" applyWidthHeightFormats="1" dataCaption="Values" tag="bc401b27-83e5-49fa-8a09-98cc6dc375a5" updatedVersion="8" minRefreshableVersion="3" useAutoFormatting="1" subtotalHiddenItems="1" rowGrandTotals="0" colGrandTotals="0" itemPrintTitles="1" createdVersion="5" indent="0" compact="0" compactData="0" multipleFieldFilters="0" chartFormat="9">
  <location ref="AM4:AN7" firstHeaderRow="1" firstDataRow="1" firstDataCol="1"/>
  <pivotFields count="4">
    <pivotField compact="0" allDrilled="1" outline="0" subtotalTop="0" showAll="0" measureFilter="1" dataSourceSort="1" defaultSubtotal="0" defaultAttributeDrillState="1">
      <items count="1">
        <item x="0"/>
      </items>
    </pivotField>
    <pivotField compact="0" allDrilled="1" outline="0" subtotalTop="0" showAll="0" measureFilter="1" dataSourceSort="1" defaultSubtotal="0" defaultAttributeDrillState="1">
      <items count="1">
        <item x="0"/>
      </items>
    </pivotField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</pivotField>
    <pivotField dataField="1" compact="0" outline="0" subtotalTop="0" showAll="0" defaultSubtotal="0"/>
  </pivotFields>
  <rowFields count="1">
    <field x="2"/>
  </rowFields>
  <rowItems count="3">
    <i>
      <x/>
    </i>
    <i>
      <x v="1"/>
    </i>
    <i>
      <x v="2"/>
    </i>
  </rowItems>
  <colItems count="1">
    <i/>
  </colItems>
  <dataFields count="1">
    <dataField fld="3" subtotal="count" baseField="0" baseItem="0"/>
  </dataField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Age"/>
    <pivotHierarchy dragToData="1"/>
    <pivotHierarchy dragToData="1" caption="Count of BusID"/>
    <pivotHierarchy dragToData="1"/>
    <pivotHierarchy dragToData="1" caption="Count of RiderID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2">
    <filter fld="0" type="count" id="2" iMeasureHier="46">
      <autoFilter ref="A1">
        <filterColumn colId="0">
          <top10 val="1" filterVal="1"/>
        </filterColumn>
      </autoFilter>
    </filter>
    <filter fld="1" type="count" id="3" iMeasureHier="46">
      <autoFilter ref="A1">
        <filterColumn colId="0">
          <top10 top="0" val="1" filterVal="1"/>
        </filterColumn>
      </autoFilter>
    </filter>
  </filters>
  <rowHierarchiesUsage count="1">
    <rowHierarchyUsage hierarchyUsage="2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emographics]"/>
        <x15:activeTabTopLevelEntity name="[buses]"/>
        <x15:activeTabTopLevelEntity name="[Calculations]"/>
        <x15:activeTabTopLevelEntity name="[factable]"/>
        <x15:activeTabTopLevelEntity name="[routes]"/>
        <x15:activeTabTopLevelEntity name="[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162479-93A4-4A2C-AD36-21C89A835E02}" name="PivotTable9" cacheId="15" applyNumberFormats="0" applyBorderFormats="0" applyFontFormats="0" applyPatternFormats="0" applyAlignmentFormats="0" applyWidthHeightFormats="1" dataCaption="Values" tag="5fa6f07e-075d-4b99-aa3c-8a070d642144" updatedVersion="8" minRefreshableVersion="3" useAutoFormatting="1" subtotalHiddenItems="1" rowGrandTotals="0" colGrandTotals="0" itemPrintTitles="1" createdVersion="5" indent="0" compact="0" compactData="0" multipleFieldFilters="0" chartFormat="10">
  <location ref="S5:T7" firstHeaderRow="1" firstDataRow="1" firstDataCol="1"/>
  <pivotFields count="5">
    <pivotField dataField="1" compact="0" outline="0" subtotalTop="0" showAll="0" defaultSubtotal="0"/>
    <pivotField compact="0" allDrilled="1" outline="0" subtotalTop="0" showAll="0" measureFilter="1" dataSourceSort="1" defaultSubtotal="0" defaultAttributeDrillState="1">
      <items count="1">
        <item x="0"/>
      </items>
    </pivotField>
    <pivotField compact="0" allDrilled="1" outline="0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allDrilled="1" outline="0" subtotalTop="0" showAll="0" measureFilter="1" dataSourceSort="1" defaultSubtotal="0" defaultAttributeDrillState="1">
      <items count="1">
        <item x="0"/>
      </items>
    </pivotField>
    <pivotField axis="axisRow" compact="0" allDrilled="1" outline="0" subtotalTop="0" showAll="0" dataSourceSort="1" defaultSubtotal="0" defaultAttributeDrillState="1">
      <items count="2">
        <item x="0"/>
        <item x="1"/>
      </items>
    </pivotField>
  </pivotFields>
  <rowFields count="1">
    <field x="4"/>
  </rowFields>
  <rowItems count="2">
    <i>
      <x/>
    </i>
    <i>
      <x v="1"/>
    </i>
  </rowItems>
  <colItems count="1">
    <i/>
  </colItems>
  <dataFields count="1">
    <dataField fld="0" subtotal="count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Age"/>
    <pivotHierarchy dragToData="1"/>
    <pivotHierarchy dragToData="1" caption="Count of BusID"/>
    <pivotHierarchy dragToData="1"/>
    <pivotHierarchy dragToData="1" caption="Count of RiderID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2">
    <filter fld="1" type="count" id="2" iMeasureHier="46">
      <autoFilter ref="A1">
        <filterColumn colId="0">
          <top10 val="1" filterVal="1"/>
        </filterColumn>
      </autoFilter>
    </filter>
    <filter fld="3" type="count" id="3" iMeasureHier="46">
      <autoFilter ref="A1">
        <filterColumn colId="0">
          <top10 top="0" val="1" filterVal="1"/>
        </filterColumn>
      </autoFilter>
    </filter>
  </filters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emographics]"/>
        <x15:activeTabTopLevelEntity name="[buses]"/>
        <x15:activeTabTopLevelEntity name="[Calculations]"/>
        <x15:activeTabTopLevelEntity name="[factable]"/>
        <x15:activeTabTopLevelEntity name="[routes]"/>
        <x15:activeTabTopLevelEntity name="[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C48F1D-3685-4C57-86E4-FE16DB6668F9}" name="PivotTable7" cacheId="16" applyNumberFormats="0" applyBorderFormats="0" applyFontFormats="0" applyPatternFormats="0" applyAlignmentFormats="0" applyWidthHeightFormats="1" dataCaption="Values" tag="30eeeb88-8325-4df7-a146-3b7cdbd278d3" updatedVersion="8" minRefreshableVersion="3" useAutoFormatting="1" subtotalHiddenItems="1" rowGrandTotals="0" colGrandTotals="0" itemPrintTitles="1" createdVersion="5" indent="0" compact="0" compactData="0" multipleFieldFilters="0" chartFormat="6">
  <location ref="Y5:Z12" firstHeaderRow="1" firstDataRow="1" firstDataCol="1"/>
  <pivotFields count="5">
    <pivotField dataField="1" compact="0" outline="0" subtotalTop="0" showAll="0" defaultSubtotal="0"/>
    <pivotField compact="0" allDrilled="1" outline="0" subtotalTop="0" showAll="0" measureFilter="1" dataSourceSort="1" defaultSubtotal="0" defaultAttributeDrillState="1">
      <items count="1">
        <item x="0"/>
      </items>
    </pivotField>
    <pivotField compact="0" allDrilled="1" outline="0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allDrilled="1" outline="0" subtotalTop="0" showAll="0" measureFilter="1" dataSourceSort="1" defaultSubtotal="0" defaultAttributeDrillState="1">
      <items count="1">
        <item x="0"/>
      </items>
    </pivotField>
    <pivotField axis="axisRow" compact="0" allDrilled="1" outline="0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fld="0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Age"/>
    <pivotHierarchy dragToData="1"/>
    <pivotHierarchy dragToData="1" caption="Count of BusID"/>
    <pivotHierarchy dragToData="1"/>
    <pivotHierarchy dragToData="1" caption="Count of RiderID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2">
    <filter fld="1" type="count" id="2" iMeasureHier="46">
      <autoFilter ref="A1">
        <filterColumn colId="0">
          <top10 val="1" filterVal="1"/>
        </filterColumn>
      </autoFilter>
    </filter>
    <filter fld="3" type="count" id="3" iMeasureHier="46">
      <autoFilter ref="A1">
        <filterColumn colId="0">
          <top10 top="0" val="1" filterVal="1"/>
        </filterColumn>
      </autoFilter>
    </filter>
  </filters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emographics]"/>
        <x15:activeTabTopLevelEntity name="[buses]"/>
        <x15:activeTabTopLevelEntity name="[Calculations]"/>
        <x15:activeTabTopLevelEntity name="[factable]"/>
        <x15:activeTabTopLevelEntity name="[routes]"/>
        <x15:activeTabTopLevelEntity name="[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A5AD45-85B0-411C-8290-4CD0F14CA9F0}" name="PivotTable3" cacheId="12" applyNumberFormats="0" applyBorderFormats="0" applyFontFormats="0" applyPatternFormats="0" applyAlignmentFormats="0" applyWidthHeightFormats="1" dataCaption="Values" tag="6f39c448-ee21-43d2-8a6b-e26287128b57" updatedVersion="8" minRefreshableVersion="3" useAutoFormatting="1" subtotalHiddenItems="1" rowGrandTotals="0" colGrandTotals="0" itemPrintTitles="1" createdVersion="5" indent="0" compact="0" compactData="0" multipleFieldFilters="0">
  <location ref="B11:C12" firstHeaderRow="1" firstDataRow="1" firstDataCol="1"/>
  <pivotFields count="2">
    <pivotField dataField="1" compact="0" outline="0" subtotalTop="0" showAll="0" defaultSubtotal="0"/>
    <pivotField axis="axisRow" compact="0" allDrilled="1" outline="0" subtotalTop="0" showAll="0" measureFilter="1" dataSourceSort="1" defaultSubtotal="0" defaultAttributeDrillState="1">
      <items count="1">
        <item x="0"/>
      </items>
    </pivotField>
  </pivotFields>
  <rowFields count="1">
    <field x="1"/>
  </rowFields>
  <rowItems count="1">
    <i>
      <x/>
    </i>
  </rowItems>
  <colItems count="1">
    <i/>
  </colItems>
  <dataFields count="1">
    <dataField fld="0" subtotal="count" baseField="0" baseItem="0"/>
  </dataField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Age"/>
    <pivotHierarchy dragToData="1"/>
    <pivotHierarchy dragToData="1" caption="Count of BusID"/>
    <pivotHierarchy dragToData="1"/>
    <pivotHierarchy dragToData="1" caption="Count of RiderID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1" type="count" id="3" iMeasureHier="46">
      <autoFilter ref="A1">
        <filterColumn colId="0">
          <top10 top="0" val="1" filterVal="1"/>
        </filterColumn>
      </autoFilter>
    </filter>
  </filters>
  <rowHierarchiesUsage count="1">
    <rowHierarchyUsage hierarchyUsage="3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emographics]"/>
        <x15:activeTabTopLevelEntity name="[buses]"/>
        <x15:activeTabTopLevelEntity name="[Calculations]"/>
        <x15:activeTabTopLevelEntity name="[factable]"/>
        <x15:activeTabTopLevelEntity name="[rou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261877-5F65-473C-817C-A1DAF30840CF}" name="PivotTable6" cacheId="13" applyNumberFormats="0" applyBorderFormats="0" applyFontFormats="0" applyPatternFormats="0" applyAlignmentFormats="0" applyWidthHeightFormats="1" dataCaption="Values" tag="2855b2fe-4797-49e8-b1c4-75b06f6b140e" updatedVersion="8" minRefreshableVersion="3" useAutoFormatting="1" subtotalHiddenItems="1" rowGrandTotals="0" colGrandTotals="0" itemPrintTitles="1" createdVersion="5" indent="0" compact="0" compactData="0" multipleFieldFilters="0" chartFormat="3">
  <location ref="L4:M5" firstHeaderRow="1" firstDataRow="1" firstDataCol="1"/>
  <pivotFields count="4">
    <pivotField dataField="1" compact="0" outline="0" subtotalTop="0" showAll="0" defaultSubtotal="0"/>
    <pivotField compact="0" allDrilled="1" outline="0" subtotalTop="0" showAll="0" measureFilter="1" dataSourceSort="1" defaultSubtotal="0" defaultAttributeDrillState="1">
      <items count="1">
        <item x="0"/>
      </items>
    </pivotField>
    <pivotField compact="0" allDrilled="1" outline="0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allDrilled="1" outline="0" subtotalTop="0" showAll="0" measureFilter="1" dataSourceSort="1" defaultSubtotal="0" defaultAttributeDrillState="1">
      <items count="1">
        <item x="0"/>
      </items>
    </pivotField>
  </pivotFields>
  <rowFields count="1">
    <field x="3"/>
  </rowFields>
  <rowItems count="1">
    <i>
      <x/>
    </i>
  </rowItems>
  <colItems count="1">
    <i/>
  </colItems>
  <dataFields count="1">
    <dataField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Age"/>
    <pivotHierarchy dragToData="1"/>
    <pivotHierarchy dragToData="1" caption="Count of BusID"/>
    <pivotHierarchy dragToData="1"/>
    <pivotHierarchy dragToData="1" caption="Count of RiderID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2">
    <filter fld="1" type="count" id="2" iMeasureHier="46">
      <autoFilter ref="A1">
        <filterColumn colId="0">
          <top10 val="1" filterVal="1"/>
        </filterColumn>
      </autoFilter>
    </filter>
    <filter fld="3" type="count" id="3" iMeasureHier="46">
      <autoFilter ref="A1">
        <filterColumn colId="0">
          <top10 val="1" filterVal="1"/>
        </filterColumn>
      </autoFilter>
    </filter>
  </filters>
  <rowHierarchiesUsage count="1">
    <rowHierarchyUsage hierarchyUsage="2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emographics]"/>
        <x15:activeTabTopLevelEntity name="[buses]"/>
        <x15:activeTabTopLevelEntity name="[Calculations]"/>
        <x15:activeTabTopLevelEntity name="[factable]"/>
        <x15:activeTabTopLevelEntity name="[rou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D57A8E-A5D9-4BDC-966D-82DFF5D095F3}" name="PivotTable12" cacheId="5" applyNumberFormats="0" applyBorderFormats="0" applyFontFormats="0" applyPatternFormats="0" applyAlignmentFormats="0" applyWidthHeightFormats="1" dataCaption="Values" tag="9dd2c74c-61f8-452d-8f52-f64e8cb42103" updatedVersion="8" minRefreshableVersion="3" useAutoFormatting="1" subtotalHiddenItems="1" rowGrandTotals="0" colGrandTotals="0" itemPrintTitles="1" createdVersion="5" indent="0" compact="0" compactData="0" multipleFieldFilters="0" chartFormat="9">
  <location ref="AS4:AT6" firstHeaderRow="1" firstDataRow="1" firstDataCol="1"/>
  <pivotFields count="4">
    <pivotField compact="0" allDrilled="1" outline="0" subtotalTop="0" showAll="0" measureFilter="1" dataSourceSort="1" defaultSubtotal="0" defaultAttributeDrillState="1">
      <items count="1">
        <item x="0"/>
      </items>
    </pivotField>
    <pivotField compact="0" allDrilled="1" outline="0" subtotalTop="0" showAll="0" measureFilter="1" dataSourceSort="1" defaultSubtotal="0" defaultAttributeDrillState="1">
      <items count="1">
        <item x="0"/>
      </items>
    </pivotField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2">
        <item x="0"/>
        <item x="1"/>
      </items>
    </pivotField>
  </pivotFields>
  <rowFields count="1">
    <field x="3"/>
  </rowFields>
  <rowItems count="2">
    <i>
      <x/>
    </i>
    <i>
      <x v="1"/>
    </i>
  </rowItems>
  <colItems count="1">
    <i/>
  </colItems>
  <dataFields count="1">
    <dataField fld="2" subtotal="count" showDataAs="percentOfTotal" baseField="0" baseItem="0" numFmtId="10"/>
  </dataField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Age"/>
    <pivotHierarchy dragToData="1"/>
    <pivotHierarchy dragToData="1" caption="Count of BusID"/>
    <pivotHierarchy dragToData="1"/>
    <pivotHierarchy dragToData="1" caption="Count of RiderID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2">
    <filter fld="0" type="count" id="2" iMeasureHier="46">
      <autoFilter ref="A1">
        <filterColumn colId="0">
          <top10 val="1" filterVal="1"/>
        </filterColumn>
      </autoFilter>
    </filter>
    <filter fld="1" type="count" id="3" iMeasureHier="46">
      <autoFilter ref="A1">
        <filterColumn colId="0">
          <top10 top="0" val="1" filterVal="1"/>
        </filterColumn>
      </autoFilter>
    </filter>
  </filters>
  <rowHierarchiesUsage count="1">
    <rowHierarchyUsage hierarchyUsage="2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emographics]"/>
        <x15:activeTabTopLevelEntity name="[buses]"/>
        <x15:activeTabTopLevelEntity name="[Calculations]"/>
        <x15:activeTabTopLevelEntity name="[factable]"/>
        <x15:activeTabTopLevelEntity name="[routes]"/>
        <x15:activeTabTopLevelEntity name="[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EBBE88-2B4B-4A80-9193-01CA155444F5}" name="PivotTable2" cacheId="11" applyNumberFormats="0" applyBorderFormats="0" applyFontFormats="0" applyPatternFormats="0" applyAlignmentFormats="0" applyWidthHeightFormats="1" dataCaption="Values" tag="2855b2fe-4797-49e8-b1c4-75b06f6b140e" updatedVersion="8" minRefreshableVersion="3" useAutoFormatting="1" subtotalHiddenItems="1" rowGrandTotals="0" colGrandTotals="0" itemPrintTitles="1" createdVersion="5" indent="0" compact="0" compactData="0" multipleFieldFilters="0">
  <location ref="B6:C7" firstHeaderRow="1" firstDataRow="1" firstDataCol="1"/>
  <pivotFields count="2">
    <pivotField dataField="1" compact="0" outline="0" subtotalTop="0" showAll="0" defaultSubtotal="0"/>
    <pivotField axis="axisRow" compact="0" allDrilled="1" outline="0" subtotalTop="0" showAll="0" measureFilter="1" dataSourceSort="1" defaultSubtotal="0" defaultAttributeDrillState="1">
      <items count="1">
        <item x="0"/>
      </items>
    </pivotField>
  </pivotFields>
  <rowFields count="1">
    <field x="1"/>
  </rowFields>
  <rowItems count="1">
    <i>
      <x/>
    </i>
  </rowItems>
  <colItems count="1">
    <i/>
  </colItems>
  <dataFields count="1">
    <dataField fld="0" subtotal="count" baseField="0" baseItem="0"/>
  </dataField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Age"/>
    <pivotHierarchy dragToData="1"/>
    <pivotHierarchy dragToData="1" caption="Count of BusID"/>
    <pivotHierarchy dragToData="1"/>
    <pivotHierarchy dragToData="1" caption="Count of RiderID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1" type="count" id="2" iMeasureHier="46">
      <autoFilter ref="A1">
        <filterColumn colId="0">
          <top10 val="1" filterVal="1"/>
        </filterColumn>
      </autoFilter>
    </filter>
  </filters>
  <rowHierarchiesUsage count="1">
    <rowHierarchyUsage hierarchyUsage="3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emographics]"/>
        <x15:activeTabTopLevelEntity name="[buses]"/>
        <x15:activeTabTopLevelEntity name="[Calculations]"/>
        <x15:activeTabTopLevelEntity name="[factable]"/>
        <x15:activeTabTopLevelEntity name="[rou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61C2CD-096B-4988-B886-8EA9A7A1EB01}" name="PivotTable4" cacheId="9" applyNumberFormats="0" applyBorderFormats="0" applyFontFormats="0" applyPatternFormats="0" applyAlignmentFormats="0" applyWidthHeightFormats="1" dataCaption="Values" tag="2855b2fe-4797-49e8-b1c4-75b06f6b140e" updatedVersion="8" minRefreshableVersion="3" useAutoFormatting="1" subtotalHiddenItems="1" rowGrandTotals="0" colGrandTotals="0" itemPrintTitles="1" createdVersion="5" indent="0" compact="0" compactData="0" multipleFieldFilters="0" chartFormat="7">
  <location ref="G6:H10" firstHeaderRow="1" firstDataRow="1" firstDataCol="1"/>
  <pivotFields count="3">
    <pivotField dataField="1" compact="0" outline="0" subtotalTop="0" showAll="0" defaultSubtotal="0"/>
    <pivotField compact="0" allDrilled="1" outline="0" subtotalTop="0" showAll="0" measureFilter="1" dataSourceSort="1" defaultSubtotal="0" defaultAttributeDrillState="1">
      <items count="1">
        <item x="0"/>
      </items>
    </pivotField>
    <pivotField axis="axisRow" compact="0" allDrilled="1" outline="0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4">
    <i>
      <x v="1"/>
    </i>
    <i>
      <x v="3"/>
    </i>
    <i>
      <x/>
    </i>
    <i>
      <x v="2"/>
    </i>
  </rowItems>
  <colItems count="1">
    <i/>
  </colItems>
  <dataFields count="1">
    <dataField fld="0" subtotal="count" baseField="0" baseItem="0"/>
  </dataFields>
  <chartFormats count="3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Age"/>
    <pivotHierarchy dragToData="1"/>
    <pivotHierarchy dragToData="1" caption="Count of BusID"/>
    <pivotHierarchy dragToData="1"/>
    <pivotHierarchy dragToData="1" caption="Count of RiderID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1" type="count" id="2" iMeasureHier="46">
      <autoFilter ref="A1">
        <filterColumn colId="0">
          <top10 val="1" filterVal="1"/>
        </filterColumn>
      </autoFilter>
    </filter>
  </filters>
  <rowHierarchiesUsage count="1">
    <rowHierarchyUsage hierarchyUsage="2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emographics]"/>
        <x15:activeTabTopLevelEntity name="[buses]"/>
        <x15:activeTabTopLevelEntity name="[Calculations]"/>
        <x15:activeTabTopLevelEntity name="[factable]"/>
        <x15:activeTabTopLevelEntity name="[rou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CACC94-C2F9-4CA5-BEE4-6B6F2A7531EB}" name="PivotTable8" cacheId="14" applyNumberFormats="0" applyBorderFormats="0" applyFontFormats="0" applyPatternFormats="0" applyAlignmentFormats="0" applyWidthHeightFormats="1" dataCaption="Values" tag="2855b2fe-4797-49e8-b1c4-75b06f6b140e" updatedVersion="8" minRefreshableVersion="3" useAutoFormatting="1" subtotalHiddenItems="1" rowGrandTotals="0" colGrandTotals="0" itemPrintTitles="1" createdVersion="5" indent="0" compact="0" compactData="0" multipleFieldFilters="0" chartFormat="3">
  <location ref="O5:P6" firstHeaderRow="1" firstDataRow="1" firstDataCol="1"/>
  <pivotFields count="4">
    <pivotField dataField="1" compact="0" outline="0" subtotalTop="0" showAll="0" defaultSubtotal="0"/>
    <pivotField compact="0" allDrilled="1" outline="0" subtotalTop="0" showAll="0" measureFilter="1" dataSourceSort="1" defaultSubtotal="0" defaultAttributeDrillState="1">
      <items count="1">
        <item x="0"/>
      </items>
    </pivotField>
    <pivotField compact="0" allDrilled="1" outline="0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allDrilled="1" outline="0" subtotalTop="0" showAll="0" measureFilter="1" dataSourceSort="1" defaultSubtotal="0" defaultAttributeDrillState="1">
      <items count="1">
        <item x="0"/>
      </items>
    </pivotField>
  </pivotFields>
  <rowFields count="1">
    <field x="3"/>
  </rowFields>
  <rowItems count="1">
    <i>
      <x/>
    </i>
  </rowItems>
  <colItems count="1">
    <i/>
  </colItems>
  <dataFields count="1">
    <dataField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Age"/>
    <pivotHierarchy dragToData="1"/>
    <pivotHierarchy dragToData="1" caption="Count of BusID"/>
    <pivotHierarchy dragToData="1"/>
    <pivotHierarchy dragToData="1" caption="Count of RiderID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2">
    <filter fld="1" type="count" id="2" iMeasureHier="46">
      <autoFilter ref="A1">
        <filterColumn colId="0">
          <top10 val="1" filterVal="1"/>
        </filterColumn>
      </autoFilter>
    </filter>
    <filter fld="3" type="count" id="3" iMeasureHier="46">
      <autoFilter ref="A1">
        <filterColumn colId="0">
          <top10 top="0" val="1" filterVal="1"/>
        </filterColumn>
      </autoFilter>
    </filter>
  </filters>
  <rowHierarchiesUsage count="1">
    <rowHierarchyUsage hierarchyUsage="2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emographics]"/>
        <x15:activeTabTopLevelEntity name="[buses]"/>
        <x15:activeTabTopLevelEntity name="[Calculations]"/>
        <x15:activeTabTopLevelEntity name="[factable]"/>
        <x15:activeTabTopLevelEntity name="[rou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5853A9-E83B-4028-83F8-9D776FC6B458}" name="PivotTable5" cacheId="19" applyNumberFormats="0" applyBorderFormats="0" applyFontFormats="0" applyPatternFormats="0" applyAlignmentFormats="0" applyWidthHeightFormats="1" dataCaption="Values" tag="9dd0dbd3-58a9-46b0-ada0-52c7a56d09c6" updatedVersion="8" minRefreshableVersion="3" useAutoFormatting="1" subtotalHiddenItems="1" rowGrandTotals="0" colGrandTotals="0" itemPrintTitles="1" createdVersion="5" indent="0" compact="0" compactData="0" multipleFieldFilters="0" chartFormat="9">
  <location ref="AH2:AI3" firstHeaderRow="0" firstDataRow="1" firstDataCol="0"/>
  <pivotFields count="3">
    <pivotField compact="0" allDrilled="1" outline="0" subtotalTop="0" showAll="0" measureFilter="1" dataSourceSort="1" defaultSubtotal="0" defaultAttributeDrillState="1">
      <items count="1">
        <item x="0"/>
      </items>
    </pivotField>
    <pivotField dataField="1" compact="0" outline="0" subtotalTop="0" showAll="0" defaultSubtotal="0"/>
    <pivotField dataField="1" compact="0" outline="0" subtotalTop="0" showAll="0" defaultSubtotal="0"/>
  </pivotFields>
  <rowItems count="1">
    <i/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Age"/>
    <pivotHierarchy dragToData="1"/>
    <pivotHierarchy dragToData="1" caption="Count of BusID"/>
    <pivotHierarchy dragToData="1"/>
    <pivotHierarchy dragToData="1" caption="Count of RiderID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3" iMeasureHier="46">
      <autoFilter ref="A1">
        <filterColumn colId="0">
          <top10 top="0" val="1" filterVal="1"/>
        </filterColumn>
      </autoFilter>
    </filter>
  </filters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emographics]"/>
        <x15:activeTabTopLevelEntity name="[buses]"/>
        <x15:activeTabTopLevelEntity name="[Calculations]"/>
        <x15:activeTabTopLevelEntity name="[factable]"/>
        <x15:activeTabTopLevelEntity name="[routes]"/>
        <x15:activeTabTopLevelEntity name="[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A4068B-81A1-4D5B-8EDA-CAF7802A20D0}" name="PivotTable1" cacheId="4" applyNumberFormats="0" applyBorderFormats="0" applyFontFormats="0" applyPatternFormats="0" applyAlignmentFormats="0" applyWidthHeightFormats="1" dataCaption="Values" tag="618ba2de-d9a5-442a-9e53-5526741fc727" updatedVersion="8" minRefreshableVersion="3" useAutoFormatting="1" subtotalHiddenItems="1" rowGrandTotals="0" colGrandTotals="0" itemPrintTitles="1" createdVersion="5" indent="0" compact="0" compactData="0" multipleFieldFilters="0" chartFormat="9">
  <location ref="U2:V8" firstHeaderRow="1" firstDataRow="1" firstDataCol="1"/>
  <pivotFields count="4">
    <pivotField compact="0" allDrilled="1" outline="0" subtotalTop="0" showAll="0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allDrilled="1" outline="0" subtotalTop="0" showAll="0" measureFilter="1" dataSourceSort="1" defaultSubtotal="0" defaultAttributeDrillState="1">
      <items count="1">
        <item x="0"/>
      </items>
    </pivotField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fld="2" subtotal="count" baseField="0" baseItem="0"/>
  </dataField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Age"/>
    <pivotHierarchy dragToData="1"/>
    <pivotHierarchy dragToData="1" caption="Count of BusID"/>
    <pivotHierarchy dragToData="1"/>
    <pivotHierarchy dragToData="1" caption="Count of RiderID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1" type="count" id="3" iMeasureHier="46">
      <autoFilter ref="A1">
        <filterColumn colId="0">
          <top10 top="0" val="1" filterVal="1"/>
        </filterColumn>
      </autoFilter>
    </filter>
  </filters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emographics]"/>
        <x15:activeTabTopLevelEntity name="[buses]"/>
        <x15:activeTabTopLevelEntity name="[Calculations]"/>
        <x15:activeTabTopLevelEntity name="[factable]"/>
        <x15:activeTabTopLevelEntity name="[routes]"/>
        <x15:activeTabTopLevelEntity name="[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C1FA31-3573-4352-A97A-E675948DDD97}" name="PivotTable3" cacheId="18" applyNumberFormats="0" applyBorderFormats="0" applyFontFormats="0" applyPatternFormats="0" applyAlignmentFormats="0" applyWidthHeightFormats="1" dataCaption="Values" tag="ef10b243-4673-4beb-9800-082092fe9a70" updatedVersion="8" minRefreshableVersion="3" useAutoFormatting="1" subtotalHiddenItems="1" rowGrandTotals="0" colGrandTotals="0" itemPrintTitles="1" createdVersion="5" indent="0" compact="0" compactData="0" multipleFieldFilters="0" chartFormat="9">
  <location ref="K2:L5" firstHeaderRow="1" firstDataRow="1" firstDataCol="1"/>
  <pivotFields count="4">
    <pivotField compact="0" allDrilled="1" outline="0" subtotalTop="0" showAll="0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allDrilled="1" outline="0" subtotalTop="0" showAll="0" measureFilter="1" dataSourceSort="1" defaultSubtotal="0" defaultAttributeDrillState="1">
      <items count="1">
        <item x="0"/>
      </items>
    </pivotField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</pivotField>
  </pivotFields>
  <rowFields count="1">
    <field x="3"/>
  </rowFields>
  <rowItems count="3">
    <i>
      <x/>
    </i>
    <i>
      <x v="1"/>
    </i>
    <i>
      <x v="2"/>
    </i>
  </rowItems>
  <colItems count="1">
    <i/>
  </colItems>
  <dataFields count="1">
    <dataField fld="2" subtotal="count" baseField="0" baseItem="0"/>
  </dataField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Age"/>
    <pivotHierarchy dragToData="1"/>
    <pivotHierarchy dragToData="1" caption="Count of BusID"/>
    <pivotHierarchy dragToData="1"/>
    <pivotHierarchy dragToData="1" caption="Count of RiderID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1" type="count" id="3" iMeasureHier="46">
      <autoFilter ref="A1">
        <filterColumn colId="0">
          <top10 top="0" val="1" filterVal="1"/>
        </filterColumn>
      </autoFilter>
    </filter>
  </filters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emographics]"/>
        <x15:activeTabTopLevelEntity name="[buses]"/>
        <x15:activeTabTopLevelEntity name="[Calculations]"/>
        <x15:activeTabTopLevelEntity name="[factable]"/>
        <x15:activeTabTopLevelEntity name="[routes]"/>
        <x15:activeTabTopLevelEntity name="[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9417EF-ED7D-40FC-A575-D3E68116CE8D}" name="PivotTable2" cacheId="17" applyNumberFormats="0" applyBorderFormats="0" applyFontFormats="0" applyPatternFormats="0" applyAlignmentFormats="0" applyWidthHeightFormats="1" dataCaption="Values" tag="4c4ada8f-3363-42c9-befd-53da575c666f" updatedVersion="8" minRefreshableVersion="3" useAutoFormatting="1" subtotalHiddenItems="1" rowGrandTotals="0" colGrandTotals="0" itemPrintTitles="1" createdVersion="5" indent="0" compact="0" compactData="0" multipleFieldFilters="0" chartFormat="9">
  <location ref="B2:C12" firstHeaderRow="1" firstDataRow="1" firstDataCol="1"/>
  <pivotFields count="3">
    <pivotField axis="axisRow" compact="0" allDrilled="1" outline="0" subtotalTop="0" showAll="0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allDrilled="1" outline="0" subtotalTop="0" showAll="0" measureFilter="1" dataSourceSort="1" defaultSubtotal="0" defaultAttributeDrillState="1">
      <items count="1">
        <item x="0"/>
      </items>
    </pivotField>
    <pivotField dataField="1" compact="0" outline="0" subtotalTop="0" showAll="0" defaultSubtotal="0"/>
  </pivotFields>
  <rowFields count="1">
    <field x="0"/>
  </rowFields>
  <rowItems count="10">
    <i>
      <x v="4"/>
    </i>
    <i>
      <x v="2"/>
    </i>
    <i>
      <x/>
    </i>
    <i>
      <x v="9"/>
    </i>
    <i>
      <x v="8"/>
    </i>
    <i>
      <x v="5"/>
    </i>
    <i>
      <x v="3"/>
    </i>
    <i>
      <x v="1"/>
    </i>
    <i>
      <x v="6"/>
    </i>
    <i>
      <x v="7"/>
    </i>
  </rowItems>
  <colItems count="1">
    <i/>
  </colItems>
  <dataFields count="1">
    <dataField fld="2" subtotal="count" baseField="0" baseItem="0"/>
  </dataField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Age"/>
    <pivotHierarchy dragToData="1"/>
    <pivotHierarchy dragToData="1" caption="Count of BusID"/>
    <pivotHierarchy dragToData="1"/>
    <pivotHierarchy dragToData="1" caption="Count of RiderID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1" type="count" id="3" iMeasureHier="46">
      <autoFilter ref="A1">
        <filterColumn colId="0">
          <top10 top="0" val="1" filterVal="1"/>
        </filterColumn>
      </autoFilter>
    </filter>
  </filters>
  <rowHierarchiesUsage count="1">
    <rowHierarchyUsage hierarchyUsage="3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emographics]"/>
        <x15:activeTabTopLevelEntity name="[buses]"/>
        <x15:activeTabTopLevelEntity name="[Calculations]"/>
        <x15:activeTabTopLevelEntity name="[factable]"/>
        <x15:activeTabTopLevelEntity name="[routes]"/>
        <x15:activeTabTopLevelEntity name="[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CA2E47-7734-41C0-AC98-6A8B2BD4CFCC}" name="PivotTable4" cacheId="3" applyNumberFormats="0" applyBorderFormats="0" applyFontFormats="0" applyPatternFormats="0" applyAlignmentFormats="0" applyWidthHeightFormats="1" dataCaption="Values" tag="9dd0dbd3-58a9-46b0-ada0-52c7a56d09c6" updatedVersion="8" minRefreshableVersion="3" useAutoFormatting="1" subtotalHiddenItems="1" rowGrandTotals="0" colGrandTotals="0" itemPrintTitles="1" createdVersion="5" indent="0" compact="0" compactData="0" multipleFieldFilters="0" chartFormat="9">
  <location ref="AC2:AD3" firstHeaderRow="0" firstDataRow="1" firstDataCol="0"/>
  <pivotFields count="3">
    <pivotField compact="0" allDrilled="1" outline="0" subtotalTop="0" showAll="0" measureFilter="1" dataSourceSort="1" defaultSubtotal="0" defaultAttributeDrillState="1">
      <items count="1">
        <item x="0"/>
      </items>
    </pivotField>
    <pivotField dataField="1" compact="0" outline="0" subtotalTop="0" showAll="0" defaultSubtotal="0"/>
    <pivotField dataField="1" compact="0" outline="0" subtotalTop="0" showAll="0" defaultSubtotal="0"/>
  </pivotFields>
  <rowItems count="1">
    <i/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Age"/>
    <pivotHierarchy dragToData="1"/>
    <pivotHierarchy dragToData="1" caption="Count of BusID"/>
    <pivotHierarchy dragToData="1"/>
    <pivotHierarchy dragToData="1" caption="Count of RiderID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3" iMeasureHier="46">
      <autoFilter ref="A1">
        <filterColumn colId="0">
          <top10 top="0" val="1" filterVal="1"/>
        </filterColumn>
      </autoFilter>
    </filter>
  </filters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emographics]"/>
        <x15:activeTabTopLevelEntity name="[buses]"/>
        <x15:activeTabTopLevelEntity name="[Calculations]"/>
        <x15:activeTabTopLevelEntity name="[factable]"/>
        <x15:activeTabTopLevelEntity name="[routes]"/>
        <x15:activeTabTopLevelEntity name="[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5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Relationship Id="rId6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17.xml"/><Relationship Id="rId4" Type="http://schemas.openxmlformats.org/officeDocument/2006/relationships/pivotTable" Target="../pivotTables/pivotTable16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98ACB-3E8B-4317-9414-626D8799BF72}">
  <dimension ref="A1:AU21"/>
  <sheetViews>
    <sheetView workbookViewId="0">
      <selection activeCell="A23" sqref="A23"/>
    </sheetView>
  </sheetViews>
  <sheetFormatPr defaultRowHeight="15"/>
  <cols>
    <col min="1" max="1" width="23.5703125" bestFit="1" customWidth="1"/>
    <col min="2" max="2" width="13.85546875" bestFit="1" customWidth="1"/>
    <col min="3" max="3" width="23.5703125" bestFit="1" customWidth="1"/>
    <col min="4" max="4" width="12.140625" bestFit="1" customWidth="1"/>
    <col min="5" max="5" width="4.5703125" style="4" customWidth="1"/>
    <col min="7" max="7" width="20.85546875" bestFit="1" customWidth="1"/>
    <col min="8" max="8" width="23.5703125" bestFit="1" customWidth="1"/>
    <col min="10" max="10" width="5" style="4" customWidth="1"/>
    <col min="12" max="12" width="11.5703125" bestFit="1" customWidth="1"/>
    <col min="13" max="14" width="23.5703125" bestFit="1" customWidth="1"/>
    <col min="15" max="15" width="11.42578125" bestFit="1" customWidth="1"/>
    <col min="16" max="16" width="23.5703125" bestFit="1" customWidth="1"/>
    <col min="17" max="17" width="4" style="4" bestFit="1" customWidth="1"/>
    <col min="18" max="18" width="11.42578125" bestFit="1" customWidth="1"/>
    <col min="19" max="19" width="7.28515625" bestFit="1" customWidth="1"/>
    <col min="20" max="21" width="23.5703125" bestFit="1" customWidth="1"/>
    <col min="22" max="22" width="5.7109375" style="4" customWidth="1"/>
    <col min="23" max="24" width="4" bestFit="1" customWidth="1"/>
    <col min="25" max="25" width="12.28515625" bestFit="1" customWidth="1"/>
    <col min="26" max="26" width="23.5703125" bestFit="1" customWidth="1"/>
    <col min="27" max="28" width="16.28515625" bestFit="1" customWidth="1"/>
    <col min="29" max="29" width="23.5703125" bestFit="1" customWidth="1"/>
    <col min="30" max="32" width="16.28515625" bestFit="1" customWidth="1"/>
    <col min="33" max="33" width="6.140625" style="4" customWidth="1"/>
    <col min="34" max="34" width="16.28515625" bestFit="1" customWidth="1"/>
    <col min="35" max="35" width="15" bestFit="1" customWidth="1"/>
    <col min="36" max="36" width="23.5703125" bestFit="1" customWidth="1"/>
    <col min="37" max="37" width="5.85546875" style="4" customWidth="1"/>
    <col min="38" max="38" width="16.28515625" bestFit="1" customWidth="1"/>
    <col min="39" max="39" width="21.140625" bestFit="1" customWidth="1"/>
    <col min="40" max="40" width="11" bestFit="1" customWidth="1"/>
    <col min="41" max="42" width="16.28515625" bestFit="1" customWidth="1"/>
    <col min="43" max="43" width="5" style="4" customWidth="1"/>
    <col min="44" max="44" width="16.28515625" bestFit="1" customWidth="1"/>
    <col min="45" max="45" width="20.7109375" bestFit="1" customWidth="1"/>
    <col min="46" max="46" width="23.5703125" bestFit="1" customWidth="1"/>
    <col min="47" max="182" width="16.28515625" bestFit="1" customWidth="1"/>
  </cols>
  <sheetData>
    <row r="1" spans="1:47">
      <c r="A1" t="s">
        <v>0</v>
      </c>
      <c r="B1" t="s">
        <v>1</v>
      </c>
    </row>
    <row r="2" spans="1:47">
      <c r="A2" s="2">
        <v>6587</v>
      </c>
      <c r="B2" s="3">
        <v>32.935000000000002</v>
      </c>
    </row>
    <row r="3" spans="1:47">
      <c r="L3" t="s">
        <v>2</v>
      </c>
    </row>
    <row r="4" spans="1:47">
      <c r="L4" s="1" t="s">
        <v>3</v>
      </c>
      <c r="M4" t="s">
        <v>0</v>
      </c>
      <c r="O4" t="s">
        <v>4</v>
      </c>
      <c r="AI4" s="1" t="s">
        <v>5</v>
      </c>
      <c r="AJ4" t="s">
        <v>0</v>
      </c>
      <c r="AM4" s="1" t="s">
        <v>6</v>
      </c>
      <c r="AN4" t="s">
        <v>7</v>
      </c>
      <c r="AS4" s="1" t="s">
        <v>8</v>
      </c>
      <c r="AT4" t="s">
        <v>0</v>
      </c>
    </row>
    <row r="5" spans="1:47">
      <c r="B5" t="s">
        <v>9</v>
      </c>
      <c r="L5" s="6">
        <v>0.48680555555555555</v>
      </c>
      <c r="M5" s="2">
        <v>108</v>
      </c>
      <c r="O5" s="1" t="s">
        <v>3</v>
      </c>
      <c r="P5" t="s">
        <v>0</v>
      </c>
      <c r="S5" s="1" t="s">
        <v>10</v>
      </c>
      <c r="T5" t="s">
        <v>0</v>
      </c>
      <c r="Y5" s="1" t="s">
        <v>11</v>
      </c>
      <c r="Z5" t="s">
        <v>0</v>
      </c>
      <c r="AB5" s="8" t="str">
        <f>Y5</f>
        <v>Day Name</v>
      </c>
      <c r="AC5" s="8" t="str">
        <f>Z5</f>
        <v>Total Riders (Passengers)</v>
      </c>
      <c r="AD5" s="8" t="s">
        <v>12</v>
      </c>
      <c r="AE5" s="8" t="s">
        <v>13</v>
      </c>
      <c r="AI5" t="s">
        <v>14</v>
      </c>
      <c r="AJ5" s="2">
        <v>933</v>
      </c>
      <c r="AM5" t="s">
        <v>15</v>
      </c>
      <c r="AN5">
        <v>20</v>
      </c>
      <c r="AO5" t="str">
        <f>AN5&amp; " Total Buses"</f>
        <v>20 Total Buses</v>
      </c>
      <c r="AS5" t="s">
        <v>16</v>
      </c>
      <c r="AT5" s="7">
        <v>0.35387885228480342</v>
      </c>
      <c r="AU5" s="7">
        <f>AT5</f>
        <v>0.35387885228480342</v>
      </c>
    </row>
    <row r="6" spans="1:47">
      <c r="B6" s="1" t="s">
        <v>17</v>
      </c>
      <c r="C6" t="s">
        <v>0</v>
      </c>
      <c r="G6" s="1" t="s">
        <v>18</v>
      </c>
      <c r="H6" t="s">
        <v>0</v>
      </c>
      <c r="O6" s="6">
        <v>0.52361111111111114</v>
      </c>
      <c r="P6" s="2">
        <v>15</v>
      </c>
      <c r="S6">
        <v>2023</v>
      </c>
      <c r="T6" s="2">
        <v>5654</v>
      </c>
      <c r="Y6" t="s">
        <v>19</v>
      </c>
      <c r="Z6" s="2">
        <v>1185</v>
      </c>
      <c r="AB6" t="str">
        <f t="shared" ref="AB6:AC12" si="0">Y6</f>
        <v>Sun</v>
      </c>
      <c r="AC6">
        <f t="shared" si="0"/>
        <v>1185</v>
      </c>
      <c r="AD6">
        <f>AVERAGE($AC$6:$AC$12)</f>
        <v>941</v>
      </c>
      <c r="AE6">
        <f>IF(AC6&gt;AD6,AC6,"")</f>
        <v>1185</v>
      </c>
      <c r="AI6" t="s">
        <v>20</v>
      </c>
      <c r="AJ6" s="2">
        <v>5654</v>
      </c>
      <c r="AM6" t="s">
        <v>21</v>
      </c>
      <c r="AN6">
        <v>22</v>
      </c>
      <c r="AO6" t="str">
        <f t="shared" ref="AO6:AO7" si="1">AN6&amp; " Total Buses"</f>
        <v>22 Total Buses</v>
      </c>
      <c r="AS6" t="s">
        <v>22</v>
      </c>
      <c r="AT6" s="7">
        <v>0.64612114771519658</v>
      </c>
      <c r="AU6" s="7">
        <f>AT6</f>
        <v>0.64612114771519658</v>
      </c>
    </row>
    <row r="7" spans="1:47">
      <c r="B7" t="s">
        <v>23</v>
      </c>
      <c r="C7" s="2">
        <v>1322</v>
      </c>
      <c r="G7" t="s">
        <v>24</v>
      </c>
      <c r="H7" s="2">
        <v>2119</v>
      </c>
      <c r="S7">
        <v>2024</v>
      </c>
      <c r="T7" s="2">
        <v>933</v>
      </c>
      <c r="Y7" t="s">
        <v>25</v>
      </c>
      <c r="Z7" s="2">
        <v>1085</v>
      </c>
      <c r="AB7" t="str">
        <f t="shared" si="0"/>
        <v>Mon</v>
      </c>
      <c r="AC7">
        <f t="shared" si="0"/>
        <v>1085</v>
      </c>
      <c r="AD7">
        <f t="shared" ref="AD7:AD12" si="2">AVERAGE($AC$6:$AC$12)</f>
        <v>941</v>
      </c>
      <c r="AE7">
        <f t="shared" ref="AE7:AE12" si="3">IF(AC7&gt;AD7,AC7,"")</f>
        <v>1085</v>
      </c>
      <c r="AM7" t="s">
        <v>26</v>
      </c>
      <c r="AN7">
        <v>38</v>
      </c>
      <c r="AO7" t="str">
        <f t="shared" si="1"/>
        <v>38 Total Buses</v>
      </c>
    </row>
    <row r="8" spans="1:47">
      <c r="G8" t="s">
        <v>27</v>
      </c>
      <c r="H8" s="2">
        <v>2099</v>
      </c>
      <c r="Y8" t="s">
        <v>28</v>
      </c>
      <c r="Z8" s="2">
        <v>983</v>
      </c>
      <c r="AB8" t="str">
        <f t="shared" si="0"/>
        <v>Tue</v>
      </c>
      <c r="AC8">
        <f t="shared" si="0"/>
        <v>983</v>
      </c>
      <c r="AD8">
        <f t="shared" si="2"/>
        <v>941</v>
      </c>
      <c r="AE8">
        <f t="shared" si="3"/>
        <v>983</v>
      </c>
    </row>
    <row r="9" spans="1:47">
      <c r="G9" t="s">
        <v>29</v>
      </c>
      <c r="H9" s="2">
        <v>1196</v>
      </c>
      <c r="Y9" t="s">
        <v>30</v>
      </c>
      <c r="Z9" s="2">
        <v>887</v>
      </c>
      <c r="AB9" t="str">
        <f t="shared" si="0"/>
        <v>Wed</v>
      </c>
      <c r="AC9">
        <f t="shared" si="0"/>
        <v>887</v>
      </c>
      <c r="AD9">
        <f t="shared" si="2"/>
        <v>941</v>
      </c>
      <c r="AE9" t="str">
        <f t="shared" si="3"/>
        <v/>
      </c>
    </row>
    <row r="10" spans="1:47">
      <c r="B10" t="s">
        <v>31</v>
      </c>
      <c r="G10" t="s">
        <v>32</v>
      </c>
      <c r="H10" s="2">
        <v>1173</v>
      </c>
      <c r="T10" t="s">
        <v>33</v>
      </c>
      <c r="U10" t="s">
        <v>34</v>
      </c>
      <c r="Y10" t="s">
        <v>35</v>
      </c>
      <c r="Z10" s="2">
        <v>889</v>
      </c>
      <c r="AB10" t="str">
        <f t="shared" si="0"/>
        <v>Thu</v>
      </c>
      <c r="AC10">
        <f t="shared" si="0"/>
        <v>889</v>
      </c>
      <c r="AD10">
        <f t="shared" si="2"/>
        <v>941</v>
      </c>
      <c r="AE10" t="str">
        <f t="shared" si="3"/>
        <v/>
      </c>
    </row>
    <row r="11" spans="1:47">
      <c r="B11" s="1" t="s">
        <v>17</v>
      </c>
      <c r="C11" t="s">
        <v>0</v>
      </c>
      <c r="H11" t="s">
        <v>36</v>
      </c>
      <c r="T11" s="7">
        <f>(T7-T6)/T6</f>
        <v>-0.83498408206579411</v>
      </c>
      <c r="U11" t="str">
        <f>IF(T11&lt;0,R16,R15)</f>
        <v>⬇️</v>
      </c>
      <c r="Y11" t="s">
        <v>37</v>
      </c>
      <c r="Z11" s="2">
        <v>762</v>
      </c>
      <c r="AB11" t="str">
        <f t="shared" si="0"/>
        <v>Fri</v>
      </c>
      <c r="AC11">
        <f t="shared" si="0"/>
        <v>762</v>
      </c>
      <c r="AD11">
        <f t="shared" si="2"/>
        <v>941</v>
      </c>
      <c r="AE11" t="str">
        <f t="shared" si="3"/>
        <v/>
      </c>
      <c r="AM11" t="str">
        <f>AM4</f>
        <v>Utilization Criterion</v>
      </c>
      <c r="AN11" t="s">
        <v>38</v>
      </c>
      <c r="AO11" t="s">
        <v>39</v>
      </c>
    </row>
    <row r="12" spans="1:47">
      <c r="B12" t="s">
        <v>40</v>
      </c>
      <c r="C12" s="2">
        <v>185</v>
      </c>
      <c r="Y12" t="s">
        <v>41</v>
      </c>
      <c r="Z12" s="2">
        <v>796</v>
      </c>
      <c r="AB12" t="str">
        <f t="shared" si="0"/>
        <v>Sat</v>
      </c>
      <c r="AC12">
        <f t="shared" si="0"/>
        <v>796</v>
      </c>
      <c r="AD12">
        <f t="shared" si="2"/>
        <v>941</v>
      </c>
      <c r="AE12" t="str">
        <f t="shared" si="3"/>
        <v/>
      </c>
      <c r="AM12" t="str">
        <f t="shared" ref="AM12:AM14" si="4">AM5</f>
        <v>Over-Utilized</v>
      </c>
      <c r="AN12" s="10">
        <f>AN5/SUM($AN$5:$AN$7)</f>
        <v>0.25</v>
      </c>
      <c r="AO12" s="10">
        <f>1-AN12</f>
        <v>0.75</v>
      </c>
    </row>
    <row r="13" spans="1:47">
      <c r="AM13" t="str">
        <f t="shared" si="4"/>
        <v>Under-Utilized</v>
      </c>
      <c r="AN13" s="10">
        <f t="shared" ref="AN13:AN14" si="5">AN6/SUM($AN$5:$AN$7)</f>
        <v>0.27500000000000002</v>
      </c>
      <c r="AO13" s="10">
        <f t="shared" ref="AO13:AO14" si="6">1-AN13</f>
        <v>0.72499999999999998</v>
      </c>
    </row>
    <row r="14" spans="1:47">
      <c r="G14" t="s">
        <v>0</v>
      </c>
      <c r="T14" t="s">
        <v>42</v>
      </c>
      <c r="AM14" t="str">
        <f t="shared" si="4"/>
        <v>Well-Utilized</v>
      </c>
      <c r="AN14" s="10">
        <f t="shared" si="5"/>
        <v>0.47499999999999998</v>
      </c>
      <c r="AO14" s="10">
        <f t="shared" si="6"/>
        <v>0.52500000000000002</v>
      </c>
    </row>
    <row r="15" spans="1:47">
      <c r="G15" s="2">
        <v>6587</v>
      </c>
      <c r="R15" t="s">
        <v>43</v>
      </c>
      <c r="T15" t="str">
        <f>IF(T11&lt;0,"YoY Change Suggests Room For Improvement","We are Doing Good")</f>
        <v>YoY Change Suggests Room For Improvement</v>
      </c>
    </row>
    <row r="16" spans="1:47">
      <c r="R16" t="s">
        <v>44</v>
      </c>
      <c r="AB16" t="s">
        <v>42</v>
      </c>
    </row>
    <row r="17" spans="28:28">
      <c r="AB17" t="str">
        <f>"Emphasis on highlighted days of the week: they exceeded the "&amp;AD6&amp;" passengers average and accounted for "&amp;TEXT(AB21,"0.0%")&amp;" of the Total passengers"</f>
        <v>Emphasis on highlighted days of the week: they exceeded the 941 passengers average and accounted for 49.4% of the Total passengers</v>
      </c>
    </row>
    <row r="20" spans="28:28">
      <c r="AB20" t="s">
        <v>45</v>
      </c>
    </row>
    <row r="21" spans="28:28">
      <c r="AB21" s="9">
        <f>SUM(AE6:AE12)/SUM(AC6:AC12)</f>
        <v>0.4938515257325034</v>
      </c>
    </row>
  </sheetData>
  <pageMargins left="0.7" right="0.7" top="0.75" bottom="0.75" header="0.3" footer="0.3"/>
  <pageSetup orientation="portrait"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1DB82-056A-4834-B13E-9BC02E2DDB95}">
  <dimension ref="B2:AI27"/>
  <sheetViews>
    <sheetView tabSelected="1" topLeftCell="V1" workbookViewId="0">
      <selection activeCell="AH2" sqref="AH2:AI3"/>
    </sheetView>
  </sheetViews>
  <sheetFormatPr defaultRowHeight="15"/>
  <cols>
    <col min="2" max="2" width="17.28515625" bestFit="1" customWidth="1"/>
    <col min="3" max="3" width="23.5703125" bestFit="1" customWidth="1"/>
    <col min="5" max="5" width="35.42578125" bestFit="1" customWidth="1"/>
    <col min="6" max="6" width="23.5703125" bestFit="1" customWidth="1"/>
    <col min="9" max="9" width="4.7109375" style="4" customWidth="1"/>
    <col min="11" max="11" width="10" bestFit="1" customWidth="1"/>
    <col min="12" max="12" width="23.5703125" bestFit="1" customWidth="1"/>
    <col min="15" max="15" width="11" bestFit="1" customWidth="1"/>
    <col min="16" max="16" width="23.5703125" bestFit="1" customWidth="1"/>
    <col min="19" max="19" width="6" style="4" customWidth="1"/>
    <col min="21" max="21" width="13.28515625" bestFit="1" customWidth="1"/>
    <col min="22" max="22" width="23.5703125" bestFit="1" customWidth="1"/>
    <col min="23" max="23" width="12.140625" bestFit="1" customWidth="1"/>
    <col min="25" max="25" width="23.5703125" bestFit="1" customWidth="1"/>
    <col min="26" max="26" width="16.28515625" style="12" bestFit="1" customWidth="1"/>
    <col min="29" max="29" width="23.5703125" bestFit="1" customWidth="1"/>
    <col min="30" max="30" width="12.140625" bestFit="1" customWidth="1"/>
    <col min="32" max="32" width="5.5703125" style="4" customWidth="1"/>
  </cols>
  <sheetData>
    <row r="2" spans="2:35">
      <c r="B2" s="1" t="s">
        <v>17</v>
      </c>
      <c r="C2" t="s">
        <v>0</v>
      </c>
      <c r="E2" t="str">
        <f t="shared" ref="E2:E12" si="0">B2</f>
        <v>RouteName</v>
      </c>
      <c r="F2" t="str">
        <f t="shared" ref="F2:F12" si="1">C2</f>
        <v>Total Riders (Passengers)</v>
      </c>
      <c r="G2" t="s">
        <v>38</v>
      </c>
      <c r="H2" t="s">
        <v>46</v>
      </c>
      <c r="K2" s="1" t="s">
        <v>47</v>
      </c>
      <c r="L2" t="s">
        <v>0</v>
      </c>
      <c r="N2" t="str">
        <f>K2</f>
        <v>Gender</v>
      </c>
      <c r="O2" t="s">
        <v>38</v>
      </c>
      <c r="P2" t="str">
        <f>L2</f>
        <v>Total Riders (Passengers)</v>
      </c>
      <c r="R2" t="s">
        <v>48</v>
      </c>
      <c r="U2" s="1" t="s">
        <v>49</v>
      </c>
      <c r="V2" t="s">
        <v>0</v>
      </c>
      <c r="X2" t="str">
        <f t="shared" ref="X2:Y8" si="2">U2</f>
        <v>AgeBracket</v>
      </c>
      <c r="Y2" t="str">
        <f t="shared" si="2"/>
        <v>Total Riders (Passengers)</v>
      </c>
      <c r="Z2" s="12" t="s">
        <v>50</v>
      </c>
      <c r="AA2" t="s">
        <v>38</v>
      </c>
      <c r="AC2" t="s">
        <v>0</v>
      </c>
      <c r="AD2" t="s">
        <v>51</v>
      </c>
      <c r="AH2" s="1" t="s">
        <v>0</v>
      </c>
      <c r="AI2" t="s">
        <v>51</v>
      </c>
    </row>
    <row r="3" spans="2:35">
      <c r="B3" t="s">
        <v>23</v>
      </c>
      <c r="C3" s="2">
        <v>1322</v>
      </c>
      <c r="E3" t="str">
        <f t="shared" si="0"/>
        <v>East-West Express</v>
      </c>
      <c r="F3" s="2">
        <f t="shared" si="1"/>
        <v>1322</v>
      </c>
      <c r="G3" s="9">
        <f t="shared" ref="G3:G12" si="3">F3/SUM($F$3:$F$12)</f>
        <v>0.20069834522544405</v>
      </c>
      <c r="H3" s="2">
        <f>F3</f>
        <v>1322</v>
      </c>
      <c r="K3" t="s">
        <v>52</v>
      </c>
      <c r="L3" s="2">
        <v>1007</v>
      </c>
      <c r="N3" t="str">
        <f t="shared" ref="N3:N5" si="4">K3</f>
        <v>Female</v>
      </c>
      <c r="O3" s="10">
        <f>P3/SUM($P$3:$P$5)</f>
        <v>0.15287687870047062</v>
      </c>
      <c r="P3" s="2">
        <f>L3</f>
        <v>1007</v>
      </c>
      <c r="Q3" s="10">
        <v>1</v>
      </c>
      <c r="U3" t="s">
        <v>53</v>
      </c>
      <c r="V3" s="2">
        <v>576</v>
      </c>
      <c r="X3" t="str">
        <f t="shared" si="2"/>
        <v>0-19</v>
      </c>
      <c r="Y3">
        <f t="shared" si="2"/>
        <v>576</v>
      </c>
      <c r="Z3" s="12" t="str">
        <f>X3&amp;" | "&amp;TEXT(AA3,"0.%")</f>
        <v>0-19 | 9.%</v>
      </c>
      <c r="AA3" s="9">
        <f t="shared" ref="AA3:AA8" si="5">Y3/SUM($Y$3:$Y$8)</f>
        <v>8.7444967359951414E-2</v>
      </c>
      <c r="AC3" s="2">
        <v>6587</v>
      </c>
      <c r="AD3" s="3">
        <v>42.69</v>
      </c>
      <c r="AH3" s="2">
        <v>6587</v>
      </c>
      <c r="AI3" s="3">
        <v>42.69</v>
      </c>
    </row>
    <row r="4" spans="2:35">
      <c r="B4" t="s">
        <v>54</v>
      </c>
      <c r="C4" s="2">
        <v>1271</v>
      </c>
      <c r="E4" t="str">
        <f t="shared" si="0"/>
        <v>Central Line</v>
      </c>
      <c r="F4">
        <f t="shared" si="1"/>
        <v>1271</v>
      </c>
      <c r="G4" s="9">
        <f t="shared" si="3"/>
        <v>0.1929558220737817</v>
      </c>
      <c r="H4" s="2">
        <f>F4</f>
        <v>1271</v>
      </c>
      <c r="K4" t="s">
        <v>55</v>
      </c>
      <c r="L4" s="2">
        <v>4877</v>
      </c>
      <c r="N4" t="str">
        <f t="shared" si="4"/>
        <v>Male</v>
      </c>
      <c r="O4" s="10">
        <f>P4/SUM($P$3:$P$5)</f>
        <v>0.74039775315014422</v>
      </c>
      <c r="P4" s="2">
        <f>L4</f>
        <v>4877</v>
      </c>
      <c r="Q4" s="10">
        <v>1</v>
      </c>
      <c r="U4" t="s">
        <v>56</v>
      </c>
      <c r="V4" s="2">
        <v>785</v>
      </c>
      <c r="X4" t="str">
        <f t="shared" si="2"/>
        <v>20-29</v>
      </c>
      <c r="Y4">
        <f t="shared" si="2"/>
        <v>785</v>
      </c>
      <c r="Z4" s="12" t="str">
        <f t="shared" ref="Z4:Z8" si="6">X4&amp;" | "&amp;TEXT(AA4,"0.%")</f>
        <v>20-29 | 12.%</v>
      </c>
      <c r="AA4" s="9">
        <f t="shared" si="5"/>
        <v>0.11917413086382268</v>
      </c>
    </row>
    <row r="5" spans="2:35">
      <c r="B5" t="s">
        <v>57</v>
      </c>
      <c r="C5" s="2">
        <v>754</v>
      </c>
      <c r="E5" t="str">
        <f t="shared" si="0"/>
        <v>Airport Express</v>
      </c>
      <c r="F5">
        <f t="shared" si="1"/>
        <v>754</v>
      </c>
      <c r="G5" s="9">
        <f t="shared" si="3"/>
        <v>0.11446789130104752</v>
      </c>
      <c r="H5" s="2">
        <f>F5</f>
        <v>754</v>
      </c>
      <c r="K5" t="s">
        <v>58</v>
      </c>
      <c r="L5" s="2">
        <v>703</v>
      </c>
      <c r="N5" t="str">
        <f t="shared" si="4"/>
        <v>Other</v>
      </c>
      <c r="O5" s="10">
        <f>P5/SUM($P$3:$P$5)</f>
        <v>0.10672536814938516</v>
      </c>
      <c r="P5" s="2">
        <f>L5</f>
        <v>703</v>
      </c>
      <c r="Q5" s="10">
        <v>1</v>
      </c>
      <c r="U5" t="s">
        <v>59</v>
      </c>
      <c r="V5" s="2">
        <v>1474</v>
      </c>
      <c r="X5" t="str">
        <f t="shared" si="2"/>
        <v>30-39</v>
      </c>
      <c r="Y5">
        <f t="shared" si="2"/>
        <v>1474</v>
      </c>
      <c r="Z5" s="12" t="str">
        <f t="shared" si="6"/>
        <v>30-39 | 22.%</v>
      </c>
      <c r="AA5" s="9">
        <f t="shared" si="5"/>
        <v>0.22377410050098678</v>
      </c>
    </row>
    <row r="6" spans="2:35">
      <c r="B6" t="s">
        <v>60</v>
      </c>
      <c r="C6" s="2">
        <v>741</v>
      </c>
      <c r="E6" t="str">
        <f t="shared" si="0"/>
        <v>University Line</v>
      </c>
      <c r="F6">
        <f t="shared" si="1"/>
        <v>741</v>
      </c>
      <c r="G6" s="9">
        <f t="shared" si="3"/>
        <v>0.11249430696827084</v>
      </c>
      <c r="U6" t="s">
        <v>61</v>
      </c>
      <c r="V6" s="2">
        <v>1281</v>
      </c>
      <c r="X6" t="str">
        <f t="shared" si="2"/>
        <v>40-49</v>
      </c>
      <c r="Y6">
        <f t="shared" si="2"/>
        <v>1281</v>
      </c>
      <c r="Z6" s="12" t="str">
        <f t="shared" si="6"/>
        <v>40-49 | 19.%</v>
      </c>
      <c r="AA6" s="9">
        <f t="shared" si="5"/>
        <v>0.1944739638682253</v>
      </c>
    </row>
    <row r="7" spans="2:35">
      <c r="B7" t="s">
        <v>62</v>
      </c>
      <c r="C7" s="2">
        <v>659</v>
      </c>
      <c r="E7" t="str">
        <f t="shared" si="0"/>
        <v>Suburban Line</v>
      </c>
      <c r="F7">
        <f t="shared" si="1"/>
        <v>659</v>
      </c>
      <c r="G7" s="9">
        <f t="shared" si="3"/>
        <v>0.1000455442538333</v>
      </c>
      <c r="U7" t="s">
        <v>63</v>
      </c>
      <c r="V7" s="2">
        <v>1382</v>
      </c>
      <c r="X7" t="str">
        <f t="shared" si="2"/>
        <v>50-59</v>
      </c>
      <c r="Y7">
        <f t="shared" si="2"/>
        <v>1382</v>
      </c>
      <c r="Z7" s="12" t="str">
        <f t="shared" si="6"/>
        <v>50-59 | 21.%</v>
      </c>
      <c r="AA7" s="9">
        <f t="shared" si="5"/>
        <v>0.20980719599210565</v>
      </c>
    </row>
    <row r="8" spans="2:35">
      <c r="B8" t="s">
        <v>64</v>
      </c>
      <c r="C8" s="2">
        <v>609</v>
      </c>
      <c r="E8" t="str">
        <f t="shared" si="0"/>
        <v>Market Line</v>
      </c>
      <c r="F8">
        <f t="shared" si="1"/>
        <v>609</v>
      </c>
      <c r="G8" s="9">
        <f t="shared" si="3"/>
        <v>9.24548352816153E-2</v>
      </c>
      <c r="U8" t="s">
        <v>65</v>
      </c>
      <c r="V8" s="2">
        <v>1089</v>
      </c>
      <c r="X8" t="str">
        <f t="shared" si="2"/>
        <v>60+</v>
      </c>
      <c r="Y8">
        <f t="shared" si="2"/>
        <v>1089</v>
      </c>
      <c r="Z8" s="12" t="str">
        <f t="shared" si="6"/>
        <v>60+ | 17.%</v>
      </c>
      <c r="AA8" s="9">
        <f t="shared" si="5"/>
        <v>0.16532564141490816</v>
      </c>
    </row>
    <row r="9" spans="2:35">
      <c r="B9" t="s">
        <v>66</v>
      </c>
      <c r="C9" s="2">
        <v>509</v>
      </c>
      <c r="E9" t="str">
        <f t="shared" si="0"/>
        <v>City Shuttle</v>
      </c>
      <c r="F9">
        <f t="shared" si="1"/>
        <v>509</v>
      </c>
      <c r="G9" s="9">
        <f t="shared" si="3"/>
        <v>7.7273417337179295E-2</v>
      </c>
    </row>
    <row r="10" spans="2:35">
      <c r="B10" t="s">
        <v>67</v>
      </c>
      <c r="C10" s="2">
        <v>331</v>
      </c>
      <c r="E10" t="str">
        <f t="shared" si="0"/>
        <v>Beachfront Route</v>
      </c>
      <c r="F10">
        <f t="shared" si="1"/>
        <v>331</v>
      </c>
      <c r="G10" s="9">
        <f t="shared" si="3"/>
        <v>5.0250493396083194E-2</v>
      </c>
    </row>
    <row r="11" spans="2:35">
      <c r="B11" t="s">
        <v>68</v>
      </c>
      <c r="C11" s="2">
        <v>206</v>
      </c>
      <c r="E11" t="str">
        <f t="shared" si="0"/>
        <v>North Circular</v>
      </c>
      <c r="F11">
        <f t="shared" si="1"/>
        <v>206</v>
      </c>
      <c r="G11" s="9">
        <f t="shared" si="3"/>
        <v>3.1273720965538182E-2</v>
      </c>
      <c r="AA11" t="s">
        <v>36</v>
      </c>
    </row>
    <row r="12" spans="2:35">
      <c r="B12" t="s">
        <v>40</v>
      </c>
      <c r="C12" s="2">
        <v>185</v>
      </c>
      <c r="E12" t="str">
        <f t="shared" si="0"/>
        <v>South Line</v>
      </c>
      <c r="F12">
        <f t="shared" si="1"/>
        <v>185</v>
      </c>
      <c r="G12" s="9">
        <f t="shared" si="3"/>
        <v>2.808562319720662E-2</v>
      </c>
    </row>
    <row r="13" spans="2:35">
      <c r="P13" t="s">
        <v>36</v>
      </c>
    </row>
    <row r="15" spans="2:35">
      <c r="E15" t="s">
        <v>12</v>
      </c>
      <c r="F15">
        <f>AVERAGE(F3:F12)</f>
        <v>658.7</v>
      </c>
    </row>
    <row r="27" spans="14:14">
      <c r="N27" t="s">
        <v>69</v>
      </c>
    </row>
  </sheetData>
  <pageMargins left="0.7" right="0.7" top="0.75" bottom="0.75" header="0.3" footer="0.3"/>
  <pageSetup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A742F-9C93-44F2-B647-C344559FD446}">
  <dimension ref="B1:Q47"/>
  <sheetViews>
    <sheetView showGridLines="0" showRowColHeaders="0" workbookViewId="0">
      <selection activeCell="D9" sqref="D9"/>
    </sheetView>
  </sheetViews>
  <sheetFormatPr defaultRowHeight="15"/>
  <cols>
    <col min="1" max="16384" width="9.140625" style="5"/>
  </cols>
  <sheetData>
    <row r="1" spans="2:17">
      <c r="F1" s="5" t="s">
        <v>36</v>
      </c>
    </row>
    <row r="2" spans="2:17">
      <c r="B2" s="5" t="s">
        <v>36</v>
      </c>
    </row>
    <row r="12" spans="2:17">
      <c r="Q12" s="5" t="s">
        <v>69</v>
      </c>
    </row>
    <row r="47" spans="2:2">
      <c r="B47" s="5" t="s">
        <v>36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B3811-939E-4DA9-94A9-30C35F5F9E02}">
  <dimension ref="A1"/>
  <sheetViews>
    <sheetView showGridLines="0" showRowColHeaders="0" workbookViewId="0">
      <selection activeCell="K1" sqref="K1"/>
    </sheetView>
  </sheetViews>
  <sheetFormatPr defaultRowHeight="15"/>
  <cols>
    <col min="1" max="16384" width="9.140625" style="11"/>
  </cols>
  <sheetData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Props1.xml><?xml version="1.0" encoding="utf-8"?>
<ds:datastoreItem xmlns:ds="http://schemas.openxmlformats.org/officeDocument/2006/customXml" ds:itemID="{FE566A60-5953-4C6A-9969-0DE1EDDECBA0}"/>
</file>

<file path=customXml/itemProps2.xml><?xml version="1.0" encoding="utf-8"?>
<ds:datastoreItem xmlns:ds="http://schemas.openxmlformats.org/officeDocument/2006/customXml" ds:itemID="{BCECBABE-CE62-49B3-8147-D3995F3F5285}"/>
</file>

<file path=customXml/itemProps3.xml><?xml version="1.0" encoding="utf-8"?>
<ds:datastoreItem xmlns:ds="http://schemas.openxmlformats.org/officeDocument/2006/customXml" ds:itemID="{6AEE4ABF-A2C5-4439-A611-5569EADCD653}"/>
</file>

<file path=customXml/itemProps4.xml><?xml version="1.0" encoding="utf-8"?>
<ds:datastoreItem xmlns:ds="http://schemas.openxmlformats.org/officeDocument/2006/customXml" ds:itemID="{3D363242-1D01-405B-8E3C-9CEA1BD2A669}"/>
</file>

<file path=customXml/itemProps5.xml><?xml version="1.0" encoding="utf-8"?>
<ds:datastoreItem xmlns:ds="http://schemas.openxmlformats.org/officeDocument/2006/customXml" ds:itemID="{40410E2B-4FF8-45F3-897B-151FF6A20FBD}"/>
</file>

<file path=customXml/itemProps6.xml><?xml version="1.0" encoding="utf-8"?>
<ds:datastoreItem xmlns:ds="http://schemas.openxmlformats.org/officeDocument/2006/customXml" ds:itemID="{4D09F1A3-F3F4-4AA5-A398-591BD50D1897}"/>
</file>

<file path=customXml/itemProps7.xml><?xml version="1.0" encoding="utf-8"?>
<ds:datastoreItem xmlns:ds="http://schemas.openxmlformats.org/officeDocument/2006/customXml" ds:itemID="{B0D80631-5025-4C61-A779-3185AC84E87A}"/>
</file>

<file path=customXml/itemProps8.xml><?xml version="1.0" encoding="utf-8"?>
<ds:datastoreItem xmlns:ds="http://schemas.openxmlformats.org/officeDocument/2006/customXml" ds:itemID="{7E1D3183-47DA-4BA0-BC32-F3CEDCD0C5B2}"/>
</file>

<file path=customXml/itemProps9.xml><?xml version="1.0" encoding="utf-8"?>
<ds:datastoreItem xmlns:ds="http://schemas.openxmlformats.org/officeDocument/2006/customXml" ds:itemID="{AFD56458-1E3F-47BC-8506-A6F4CFC2FA30}"/>
</file>

<file path=customXml/itemProps10.xml><?xml version="1.0" encoding="utf-8"?>
<ds:datastoreItem xmlns:ds="http://schemas.openxmlformats.org/officeDocument/2006/customXml" ds:itemID="{E8795FF3-F8AC-4443-9B6F-4F1571CDDB20}"/>
</file>

<file path=customXml/itemProps11.xml><?xml version="1.0" encoding="utf-8"?>
<ds:datastoreItem xmlns:ds="http://schemas.openxmlformats.org/officeDocument/2006/customXml" ds:itemID="{8B230F12-6B0C-4DA8-ADAC-52977AC6672A}"/>
</file>

<file path=customXml/itemProps12.xml><?xml version="1.0" encoding="utf-8"?>
<ds:datastoreItem xmlns:ds="http://schemas.openxmlformats.org/officeDocument/2006/customXml" ds:itemID="{F35437E9-90F0-46E5-9E3C-C221B8D866D8}"/>
</file>

<file path=customXml/itemProps13.xml><?xml version="1.0" encoding="utf-8"?>
<ds:datastoreItem xmlns:ds="http://schemas.openxmlformats.org/officeDocument/2006/customXml" ds:itemID="{D7A42A91-9B89-4871-9C92-5DF4AF7925B0}"/>
</file>

<file path=customXml/itemProps14.xml><?xml version="1.0" encoding="utf-8"?>
<ds:datastoreItem xmlns:ds="http://schemas.openxmlformats.org/officeDocument/2006/customXml" ds:itemID="{0BD9B5CF-7DFB-4D6C-A844-E41DA358EA42}"/>
</file>

<file path=customXml/itemProps15.xml><?xml version="1.0" encoding="utf-8"?>
<ds:datastoreItem xmlns:ds="http://schemas.openxmlformats.org/officeDocument/2006/customXml" ds:itemID="{3B9A68D9-257F-44AB-B290-C58A316ACCDC}"/>
</file>

<file path=customXml/itemProps16.xml><?xml version="1.0" encoding="utf-8"?>
<ds:datastoreItem xmlns:ds="http://schemas.openxmlformats.org/officeDocument/2006/customXml" ds:itemID="{3354D892-B36F-4A8D-B90F-75ED4D53A0D6}"/>
</file>

<file path=customXml/itemProps17.xml><?xml version="1.0" encoding="utf-8"?>
<ds:datastoreItem xmlns:ds="http://schemas.openxmlformats.org/officeDocument/2006/customXml" ds:itemID="{4D75D65F-3754-4D93-BF0B-6480B2FFA7F7}"/>
</file>

<file path=customXml/itemProps18.xml><?xml version="1.0" encoding="utf-8"?>
<ds:datastoreItem xmlns:ds="http://schemas.openxmlformats.org/officeDocument/2006/customXml" ds:itemID="{DEC3EFA5-ABB3-41D7-8CF9-21EB28CAF4C8}"/>
</file>

<file path=customXml/itemProps19.xml><?xml version="1.0" encoding="utf-8"?>
<ds:datastoreItem xmlns:ds="http://schemas.openxmlformats.org/officeDocument/2006/customXml" ds:itemID="{2F7E3418-3FFD-4309-B296-5446173FC94C}"/>
</file>

<file path=customXml/itemProps20.xml><?xml version="1.0" encoding="utf-8"?>
<ds:datastoreItem xmlns:ds="http://schemas.openxmlformats.org/officeDocument/2006/customXml" ds:itemID="{6DD9F6DB-0425-4FBD-8867-6C4F12E35DF9}"/>
</file>

<file path=customXml/itemProps21.xml><?xml version="1.0" encoding="utf-8"?>
<ds:datastoreItem xmlns:ds="http://schemas.openxmlformats.org/officeDocument/2006/customXml" ds:itemID="{C7CD5852-DA0D-47F0-B034-3B368B4D15E5}"/>
</file>

<file path=customXml/itemProps22.xml><?xml version="1.0" encoding="utf-8"?>
<ds:datastoreItem xmlns:ds="http://schemas.openxmlformats.org/officeDocument/2006/customXml" ds:itemID="{DD51995E-6831-4ED9-BF4C-47F7C97A95C6}"/>
</file>

<file path=customXml/itemProps23.xml><?xml version="1.0" encoding="utf-8"?>
<ds:datastoreItem xmlns:ds="http://schemas.openxmlformats.org/officeDocument/2006/customXml" ds:itemID="{43B34A97-17F5-4109-AADE-16FBDE92CD6A}"/>
</file>

<file path=customXml/itemProps24.xml><?xml version="1.0" encoding="utf-8"?>
<ds:datastoreItem xmlns:ds="http://schemas.openxmlformats.org/officeDocument/2006/customXml" ds:itemID="{868FB4FA-D803-4167-AE43-823417A3F7D4}"/>
</file>

<file path=customXml/itemProps25.xml><?xml version="1.0" encoding="utf-8"?>
<ds:datastoreItem xmlns:ds="http://schemas.openxmlformats.org/officeDocument/2006/customXml" ds:itemID="{BE6E8A10-08B3-4A6B-A527-A208C7CAB8E1}"/>
</file>

<file path=customXml/itemProps26.xml><?xml version="1.0" encoding="utf-8"?>
<ds:datastoreItem xmlns:ds="http://schemas.openxmlformats.org/officeDocument/2006/customXml" ds:itemID="{BEE0F952-F0AD-4B61-93DF-C1EEB3801051}"/>
</file>

<file path=customXml/itemProps27.xml><?xml version="1.0" encoding="utf-8"?>
<ds:datastoreItem xmlns:ds="http://schemas.openxmlformats.org/officeDocument/2006/customXml" ds:itemID="{BD8C6AE0-F6A8-4E31-BB29-D080C8CA2C12}"/>
</file>

<file path=customXml/itemProps28.xml><?xml version="1.0" encoding="utf-8"?>
<ds:datastoreItem xmlns:ds="http://schemas.openxmlformats.org/officeDocument/2006/customXml" ds:itemID="{20B570C3-7F19-4D43-827B-C8598424C1E7}"/>
</file>

<file path=customXml/itemProps29.xml><?xml version="1.0" encoding="utf-8"?>
<ds:datastoreItem xmlns:ds="http://schemas.openxmlformats.org/officeDocument/2006/customXml" ds:itemID="{76DD14D4-23D4-4B04-A9F9-2C7CDFD663E9}"/>
</file>

<file path=customXml/itemProps30.xml><?xml version="1.0" encoding="utf-8"?>
<ds:datastoreItem xmlns:ds="http://schemas.openxmlformats.org/officeDocument/2006/customXml" ds:itemID="{0234E80C-7CD9-4E1F-87E9-A8E02E4A6BF8}"/>
</file>

<file path=customXml/itemProps31.xml><?xml version="1.0" encoding="utf-8"?>
<ds:datastoreItem xmlns:ds="http://schemas.openxmlformats.org/officeDocument/2006/customXml" ds:itemID="{FF288643-B38A-4C38-B1DF-F05298906E20}"/>
</file>

<file path=customXml/itemProps32.xml><?xml version="1.0" encoding="utf-8"?>
<ds:datastoreItem xmlns:ds="http://schemas.openxmlformats.org/officeDocument/2006/customXml" ds:itemID="{258D943F-897C-4F60-85D4-753D1C1FD641}"/>
</file>

<file path=customXml/itemProps33.xml><?xml version="1.0" encoding="utf-8"?>
<ds:datastoreItem xmlns:ds="http://schemas.openxmlformats.org/officeDocument/2006/customXml" ds:itemID="{100BFFE0-A8B2-4373-96C4-84CA5D948D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/>
  <cp:revision/>
  <dcterms:created xsi:type="dcterms:W3CDTF">2025-08-21T16:18:01Z</dcterms:created>
  <dcterms:modified xsi:type="dcterms:W3CDTF">2026-08-24T23:14:26Z</dcterms:modified>
  <cp:category/>
  <cp:contentStatus/>
</cp:coreProperties>
</file>